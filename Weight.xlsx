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zeg\Dropbox\!AI_FINANCE_FACTORY\DIET_APP\"/>
    </mc:Choice>
  </mc:AlternateContent>
  <xr:revisionPtr revIDLastSave="0" documentId="13_ncr:1_{FFFE8B1B-EF75-41F7-B6CC-62FFCCB3C5C1}" xr6:coauthVersionLast="47" xr6:coauthVersionMax="47" xr10:uidLastSave="{00000000-0000-0000-0000-000000000000}"/>
  <bookViews>
    <workbookView xWindow="-120" yWindow="-120" windowWidth="38640" windowHeight="21120" xr2:uid="{6D89E504-ACA6-4BF9-B925-552383AD496F}"/>
  </bookViews>
  <sheets>
    <sheet name="DZ" sheetId="1" r:id="rId1"/>
  </sheets>
  <definedNames>
    <definedName name="_xlnm._FilterDatabase" localSheetId="0" hidden="1">DZ!$A$1:$Q$2193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83" i="1" l="1"/>
  <c r="B2254" i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27" i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26" i="1"/>
  <c r="M2200" i="1"/>
  <c r="L2200" i="1"/>
  <c r="H2200" i="1"/>
  <c r="F2200" i="1"/>
  <c r="M2199" i="1"/>
  <c r="L2199" i="1"/>
  <c r="H2199" i="1"/>
  <c r="F2199" i="1"/>
  <c r="M2198" i="1"/>
  <c r="L2198" i="1"/>
  <c r="H2198" i="1"/>
  <c r="F2198" i="1"/>
  <c r="M2197" i="1"/>
  <c r="L2197" i="1"/>
  <c r="H2197" i="1"/>
  <c r="F2197" i="1"/>
  <c r="M2196" i="1"/>
  <c r="L2196" i="1"/>
  <c r="H2196" i="1"/>
  <c r="F2196" i="1"/>
  <c r="M2195" i="1"/>
  <c r="L2195" i="1"/>
  <c r="H2195" i="1"/>
  <c r="F2195" i="1"/>
  <c r="D2195" i="1"/>
  <c r="B2195" i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M2194" i="1"/>
  <c r="L2194" i="1"/>
  <c r="H2194" i="1"/>
  <c r="F2194" i="1"/>
  <c r="C2194" i="1"/>
  <c r="M2193" i="1"/>
  <c r="L2193" i="1"/>
  <c r="H2193" i="1"/>
  <c r="C2193" i="1"/>
  <c r="M2192" i="1"/>
  <c r="L2192" i="1"/>
  <c r="H2192" i="1"/>
  <c r="C2192" i="1"/>
  <c r="M2191" i="1"/>
  <c r="L2191" i="1"/>
  <c r="H2191" i="1"/>
  <c r="C2191" i="1"/>
  <c r="M2190" i="1"/>
  <c r="L2190" i="1"/>
  <c r="H2190" i="1"/>
  <c r="C2190" i="1"/>
  <c r="M2189" i="1"/>
  <c r="L2189" i="1"/>
  <c r="H2189" i="1"/>
  <c r="C2189" i="1"/>
  <c r="M2188" i="1"/>
  <c r="L2188" i="1"/>
  <c r="H2188" i="1"/>
  <c r="C2188" i="1"/>
  <c r="M2187" i="1"/>
  <c r="L2187" i="1"/>
  <c r="H2187" i="1"/>
  <c r="C2187" i="1"/>
  <c r="M2186" i="1"/>
  <c r="L2186" i="1"/>
  <c r="H2186" i="1"/>
  <c r="C2186" i="1"/>
  <c r="M2185" i="1"/>
  <c r="L2185" i="1"/>
  <c r="H2185" i="1"/>
  <c r="C2185" i="1"/>
  <c r="M2184" i="1"/>
  <c r="L2184" i="1"/>
  <c r="H2184" i="1"/>
  <c r="C2184" i="1"/>
  <c r="M2183" i="1"/>
  <c r="L2183" i="1"/>
  <c r="H2183" i="1"/>
  <c r="C2183" i="1"/>
  <c r="M2182" i="1"/>
  <c r="L2182" i="1"/>
  <c r="H2182" i="1"/>
  <c r="C2182" i="1"/>
  <c r="M2181" i="1"/>
  <c r="L2181" i="1"/>
  <c r="H2181" i="1"/>
  <c r="C2181" i="1"/>
  <c r="M2180" i="1"/>
  <c r="L2180" i="1"/>
  <c r="H2180" i="1"/>
  <c r="C2180" i="1"/>
  <c r="M2179" i="1"/>
  <c r="L2179" i="1"/>
  <c r="H2179" i="1"/>
  <c r="M2178" i="1"/>
  <c r="L2178" i="1"/>
  <c r="H2178" i="1"/>
  <c r="M2177" i="1"/>
  <c r="L2177" i="1"/>
  <c r="H2177" i="1"/>
  <c r="M2176" i="1"/>
  <c r="L2176" i="1"/>
  <c r="H2176" i="1"/>
  <c r="M2175" i="1"/>
  <c r="L2175" i="1"/>
  <c r="H2175" i="1"/>
  <c r="M2174" i="1"/>
  <c r="L2174" i="1"/>
  <c r="H2174" i="1"/>
  <c r="M2173" i="1"/>
  <c r="L2173" i="1"/>
  <c r="H2173" i="1"/>
  <c r="M2172" i="1"/>
  <c r="L2172" i="1"/>
  <c r="H2172" i="1"/>
  <c r="M2171" i="1"/>
  <c r="L2171" i="1"/>
  <c r="H2171" i="1"/>
  <c r="M2170" i="1"/>
  <c r="L2170" i="1"/>
  <c r="H2170" i="1"/>
  <c r="M2169" i="1"/>
  <c r="L2169" i="1"/>
  <c r="H2169" i="1"/>
  <c r="M2168" i="1"/>
  <c r="L2168" i="1"/>
  <c r="H2168" i="1"/>
  <c r="M2167" i="1"/>
  <c r="L2167" i="1"/>
  <c r="H2167" i="1"/>
  <c r="M2166" i="1"/>
  <c r="L2166" i="1"/>
  <c r="H2166" i="1"/>
  <c r="M2165" i="1"/>
  <c r="L2165" i="1"/>
  <c r="H2165" i="1"/>
  <c r="M2164" i="1"/>
  <c r="L2164" i="1"/>
  <c r="H2164" i="1"/>
  <c r="M2163" i="1"/>
  <c r="L2163" i="1"/>
  <c r="H2163" i="1"/>
  <c r="M2162" i="1"/>
  <c r="L2162" i="1"/>
  <c r="H2162" i="1"/>
  <c r="M2161" i="1"/>
  <c r="L2161" i="1"/>
  <c r="H2161" i="1"/>
  <c r="M2160" i="1"/>
  <c r="L2160" i="1"/>
  <c r="H2160" i="1"/>
  <c r="M2159" i="1"/>
  <c r="L2159" i="1"/>
  <c r="H2159" i="1"/>
  <c r="M2158" i="1"/>
  <c r="L2158" i="1"/>
  <c r="H2158" i="1"/>
  <c r="M2157" i="1"/>
  <c r="L2157" i="1"/>
  <c r="H2157" i="1"/>
  <c r="M2156" i="1"/>
  <c r="L2156" i="1"/>
  <c r="H2156" i="1"/>
  <c r="M2155" i="1"/>
  <c r="L2155" i="1"/>
  <c r="H2155" i="1"/>
  <c r="M2154" i="1"/>
  <c r="L2154" i="1"/>
  <c r="H2154" i="1"/>
  <c r="M2153" i="1"/>
  <c r="L2153" i="1"/>
  <c r="H2153" i="1"/>
  <c r="M2152" i="1"/>
  <c r="L2152" i="1"/>
  <c r="H2152" i="1"/>
  <c r="M2151" i="1"/>
  <c r="L2151" i="1"/>
  <c r="H2151" i="1"/>
  <c r="M2150" i="1"/>
  <c r="L2150" i="1"/>
  <c r="H2150" i="1"/>
  <c r="M2149" i="1"/>
  <c r="L2149" i="1"/>
  <c r="H2149" i="1"/>
  <c r="M2148" i="1"/>
  <c r="L2148" i="1"/>
  <c r="H2148" i="1"/>
  <c r="M2147" i="1"/>
  <c r="L2147" i="1"/>
  <c r="H2147" i="1"/>
  <c r="M2146" i="1"/>
  <c r="L2146" i="1"/>
  <c r="H2146" i="1"/>
  <c r="M2145" i="1"/>
  <c r="L2145" i="1"/>
  <c r="H2145" i="1"/>
  <c r="M2144" i="1"/>
  <c r="L2144" i="1"/>
  <c r="H2144" i="1"/>
  <c r="M2143" i="1"/>
  <c r="L2143" i="1"/>
  <c r="H2143" i="1"/>
  <c r="M2142" i="1"/>
  <c r="L2142" i="1"/>
  <c r="H2142" i="1"/>
  <c r="M2141" i="1"/>
  <c r="L2141" i="1"/>
  <c r="H2141" i="1"/>
  <c r="M2140" i="1"/>
  <c r="L2140" i="1"/>
  <c r="H2140" i="1"/>
  <c r="M2139" i="1"/>
  <c r="L2139" i="1"/>
  <c r="H2139" i="1"/>
  <c r="M2138" i="1"/>
  <c r="L2138" i="1"/>
  <c r="H2138" i="1"/>
  <c r="M2137" i="1"/>
  <c r="L2137" i="1"/>
  <c r="H2137" i="1"/>
  <c r="M2136" i="1"/>
  <c r="L2136" i="1"/>
  <c r="H2136" i="1"/>
  <c r="M2135" i="1"/>
  <c r="L2135" i="1"/>
  <c r="H2135" i="1"/>
  <c r="M2134" i="1"/>
  <c r="L2134" i="1"/>
  <c r="H2134" i="1"/>
  <c r="M2133" i="1"/>
  <c r="L2133" i="1"/>
  <c r="H2133" i="1"/>
  <c r="M2132" i="1"/>
  <c r="L2132" i="1"/>
  <c r="H2132" i="1"/>
  <c r="M2131" i="1"/>
  <c r="L2131" i="1"/>
  <c r="H2131" i="1"/>
  <c r="M2130" i="1"/>
  <c r="L2130" i="1"/>
  <c r="H2130" i="1"/>
  <c r="M2129" i="1"/>
  <c r="L2129" i="1"/>
  <c r="H2129" i="1"/>
  <c r="M2128" i="1"/>
  <c r="L2128" i="1"/>
  <c r="H2128" i="1"/>
  <c r="M2127" i="1"/>
  <c r="L2127" i="1"/>
  <c r="H2127" i="1"/>
  <c r="M2126" i="1"/>
  <c r="L2126" i="1"/>
  <c r="H2126" i="1"/>
  <c r="M2125" i="1"/>
  <c r="L2125" i="1"/>
  <c r="H2125" i="1"/>
  <c r="M2124" i="1"/>
  <c r="L2124" i="1"/>
  <c r="H2124" i="1"/>
  <c r="M2123" i="1"/>
  <c r="L2123" i="1"/>
  <c r="H2123" i="1"/>
  <c r="M2122" i="1"/>
  <c r="L2122" i="1"/>
  <c r="H2122" i="1"/>
  <c r="M2121" i="1"/>
  <c r="L2121" i="1"/>
  <c r="H2121" i="1"/>
  <c r="M2120" i="1"/>
  <c r="L2120" i="1"/>
  <c r="H2120" i="1"/>
  <c r="M2119" i="1"/>
  <c r="L2119" i="1"/>
  <c r="H2119" i="1"/>
  <c r="M2118" i="1"/>
  <c r="L2118" i="1"/>
  <c r="H2118" i="1"/>
  <c r="M2117" i="1"/>
  <c r="L2117" i="1"/>
  <c r="H2117" i="1"/>
  <c r="M2116" i="1"/>
  <c r="L2116" i="1"/>
  <c r="H2116" i="1"/>
  <c r="M2115" i="1"/>
  <c r="L2115" i="1"/>
  <c r="H2115" i="1"/>
  <c r="M2114" i="1"/>
  <c r="L2114" i="1"/>
  <c r="H2114" i="1"/>
  <c r="M2113" i="1"/>
  <c r="L2113" i="1"/>
  <c r="H2113" i="1"/>
  <c r="M2112" i="1"/>
  <c r="L2112" i="1"/>
  <c r="H2112" i="1"/>
  <c r="M2111" i="1"/>
  <c r="L2111" i="1"/>
  <c r="H2111" i="1"/>
  <c r="M2110" i="1"/>
  <c r="L2110" i="1"/>
  <c r="H2110" i="1"/>
  <c r="M2109" i="1"/>
  <c r="L2109" i="1"/>
  <c r="H2109" i="1"/>
  <c r="M2108" i="1"/>
  <c r="L2108" i="1"/>
  <c r="H2108" i="1"/>
  <c r="M2107" i="1"/>
  <c r="L2107" i="1"/>
  <c r="H2107" i="1"/>
  <c r="M2106" i="1"/>
  <c r="L2106" i="1"/>
  <c r="H2106" i="1"/>
  <c r="M2105" i="1"/>
  <c r="L2105" i="1"/>
  <c r="H2105" i="1"/>
  <c r="M2104" i="1"/>
  <c r="L2104" i="1"/>
  <c r="H2104" i="1"/>
  <c r="M2103" i="1"/>
  <c r="L2103" i="1"/>
  <c r="H2103" i="1"/>
  <c r="M2102" i="1"/>
  <c r="L2102" i="1"/>
  <c r="H2102" i="1"/>
  <c r="M2101" i="1"/>
  <c r="L2101" i="1"/>
  <c r="H2101" i="1"/>
  <c r="M2100" i="1"/>
  <c r="L2100" i="1"/>
  <c r="H2100" i="1"/>
  <c r="M2099" i="1"/>
  <c r="L2099" i="1"/>
  <c r="H2099" i="1"/>
  <c r="M2098" i="1"/>
  <c r="L2098" i="1"/>
  <c r="H2098" i="1"/>
  <c r="M2097" i="1"/>
  <c r="L2097" i="1"/>
  <c r="H2097" i="1"/>
  <c r="M2096" i="1"/>
  <c r="L2096" i="1"/>
  <c r="H2096" i="1"/>
  <c r="M2095" i="1"/>
  <c r="L2095" i="1"/>
  <c r="H2095" i="1"/>
  <c r="M2094" i="1"/>
  <c r="L2094" i="1"/>
  <c r="H2094" i="1"/>
  <c r="M2093" i="1"/>
  <c r="L2093" i="1"/>
  <c r="H2093" i="1"/>
  <c r="M2092" i="1"/>
  <c r="L2092" i="1"/>
  <c r="H2092" i="1"/>
  <c r="M2091" i="1"/>
  <c r="L2091" i="1"/>
  <c r="H2091" i="1"/>
  <c r="M2090" i="1"/>
  <c r="L2090" i="1"/>
  <c r="H2090" i="1"/>
  <c r="M2089" i="1"/>
  <c r="L2089" i="1"/>
  <c r="H2089" i="1"/>
  <c r="M2088" i="1"/>
  <c r="L2088" i="1"/>
  <c r="H2088" i="1"/>
  <c r="M2087" i="1"/>
  <c r="L2087" i="1"/>
  <c r="H2087" i="1"/>
  <c r="M2086" i="1"/>
  <c r="L2086" i="1"/>
  <c r="H2086" i="1"/>
  <c r="M2085" i="1"/>
  <c r="L2085" i="1"/>
  <c r="H2085" i="1"/>
  <c r="M2084" i="1"/>
  <c r="L2084" i="1"/>
  <c r="H2084" i="1"/>
  <c r="M2083" i="1"/>
  <c r="L2083" i="1"/>
  <c r="H2083" i="1"/>
  <c r="M2082" i="1"/>
  <c r="L2082" i="1"/>
  <c r="H2082" i="1"/>
  <c r="M2081" i="1"/>
  <c r="L2081" i="1"/>
  <c r="H2081" i="1"/>
  <c r="M2080" i="1"/>
  <c r="L2080" i="1"/>
  <c r="H2080" i="1"/>
  <c r="M2079" i="1"/>
  <c r="L2079" i="1"/>
  <c r="H2079" i="1"/>
  <c r="M2078" i="1"/>
  <c r="L2078" i="1"/>
  <c r="H2078" i="1"/>
  <c r="M2077" i="1"/>
  <c r="L2077" i="1"/>
  <c r="H2077" i="1"/>
  <c r="M2076" i="1"/>
  <c r="L2076" i="1"/>
  <c r="H2076" i="1"/>
  <c r="M2075" i="1"/>
  <c r="L2075" i="1"/>
  <c r="H2075" i="1"/>
  <c r="M2074" i="1"/>
  <c r="L2074" i="1"/>
  <c r="H2074" i="1"/>
  <c r="M2073" i="1"/>
  <c r="L2073" i="1"/>
  <c r="H2073" i="1"/>
  <c r="M2072" i="1"/>
  <c r="L2072" i="1"/>
  <c r="H2072" i="1"/>
  <c r="M2071" i="1"/>
  <c r="L2071" i="1"/>
  <c r="H2071" i="1"/>
  <c r="M2070" i="1"/>
  <c r="L2070" i="1"/>
  <c r="H2070" i="1"/>
  <c r="M2069" i="1"/>
  <c r="L2069" i="1"/>
  <c r="H2069" i="1"/>
  <c r="M2068" i="1"/>
  <c r="L2068" i="1"/>
  <c r="H2068" i="1"/>
  <c r="M2067" i="1"/>
  <c r="L2067" i="1"/>
  <c r="H2067" i="1"/>
  <c r="M2066" i="1"/>
  <c r="L2066" i="1"/>
  <c r="H2066" i="1"/>
  <c r="M2065" i="1"/>
  <c r="L2065" i="1"/>
  <c r="H2065" i="1"/>
  <c r="M2064" i="1"/>
  <c r="L2064" i="1"/>
  <c r="H2064" i="1"/>
  <c r="M2063" i="1"/>
  <c r="L2063" i="1"/>
  <c r="H2063" i="1"/>
  <c r="M2062" i="1"/>
  <c r="L2062" i="1"/>
  <c r="H2062" i="1"/>
  <c r="M2061" i="1"/>
  <c r="L2061" i="1"/>
  <c r="H2061" i="1"/>
  <c r="M2060" i="1"/>
  <c r="L2060" i="1"/>
  <c r="H2060" i="1"/>
  <c r="M2059" i="1"/>
  <c r="L2059" i="1"/>
  <c r="H2059" i="1"/>
  <c r="M2058" i="1"/>
  <c r="L2058" i="1"/>
  <c r="H2058" i="1"/>
  <c r="M2057" i="1"/>
  <c r="L2057" i="1"/>
  <c r="H2057" i="1"/>
  <c r="M2056" i="1"/>
  <c r="L2056" i="1"/>
  <c r="H2056" i="1"/>
  <c r="M2055" i="1"/>
  <c r="L2055" i="1"/>
  <c r="H2055" i="1"/>
  <c r="M2054" i="1"/>
  <c r="L2054" i="1"/>
  <c r="H2054" i="1"/>
  <c r="M2053" i="1"/>
  <c r="L2053" i="1"/>
  <c r="H2053" i="1"/>
  <c r="M2052" i="1"/>
  <c r="L2052" i="1"/>
  <c r="H2052" i="1"/>
  <c r="M2051" i="1"/>
  <c r="L2051" i="1"/>
  <c r="H2051" i="1"/>
  <c r="M2050" i="1"/>
  <c r="L2050" i="1"/>
  <c r="H2050" i="1"/>
  <c r="M2049" i="1"/>
  <c r="L2049" i="1"/>
  <c r="H2049" i="1"/>
  <c r="M2048" i="1"/>
  <c r="L2048" i="1"/>
  <c r="H2048" i="1"/>
  <c r="M2047" i="1"/>
  <c r="L2047" i="1"/>
  <c r="H2047" i="1"/>
  <c r="M2046" i="1"/>
  <c r="L2046" i="1"/>
  <c r="H2046" i="1"/>
  <c r="M2045" i="1"/>
  <c r="L2045" i="1"/>
  <c r="H2045" i="1"/>
  <c r="M2044" i="1"/>
  <c r="L2044" i="1"/>
  <c r="H2044" i="1"/>
  <c r="M2043" i="1"/>
  <c r="L2043" i="1"/>
  <c r="H2043" i="1"/>
  <c r="M2042" i="1"/>
  <c r="L2042" i="1"/>
  <c r="H2042" i="1"/>
  <c r="M2041" i="1"/>
  <c r="L2041" i="1"/>
  <c r="H2041" i="1"/>
  <c r="M2040" i="1"/>
  <c r="L2040" i="1"/>
  <c r="H2040" i="1"/>
  <c r="M2039" i="1"/>
  <c r="L2039" i="1"/>
  <c r="H2039" i="1"/>
  <c r="M2038" i="1"/>
  <c r="L2038" i="1"/>
  <c r="H2038" i="1"/>
  <c r="M2037" i="1"/>
  <c r="L2037" i="1"/>
  <c r="H2037" i="1"/>
  <c r="M2036" i="1"/>
  <c r="L2036" i="1"/>
  <c r="H2036" i="1"/>
  <c r="M2035" i="1"/>
  <c r="L2035" i="1"/>
  <c r="H2035" i="1"/>
  <c r="M2034" i="1"/>
  <c r="L2034" i="1"/>
  <c r="H2034" i="1"/>
  <c r="M2033" i="1"/>
  <c r="L2033" i="1"/>
  <c r="H2033" i="1"/>
  <c r="M2032" i="1"/>
  <c r="L2032" i="1"/>
  <c r="H2032" i="1"/>
  <c r="M2031" i="1"/>
  <c r="L2031" i="1"/>
  <c r="H2031" i="1"/>
  <c r="M2030" i="1"/>
  <c r="L2030" i="1"/>
  <c r="H2030" i="1"/>
  <c r="M2029" i="1"/>
  <c r="L2029" i="1"/>
  <c r="H2029" i="1"/>
  <c r="M2028" i="1"/>
  <c r="L2028" i="1"/>
  <c r="H2028" i="1"/>
  <c r="M2027" i="1"/>
  <c r="L2027" i="1"/>
  <c r="H2027" i="1"/>
  <c r="M2026" i="1"/>
  <c r="L2026" i="1"/>
  <c r="H2026" i="1"/>
  <c r="M2025" i="1"/>
  <c r="L2025" i="1"/>
  <c r="H2025" i="1"/>
  <c r="M2024" i="1"/>
  <c r="L2024" i="1"/>
  <c r="H2024" i="1"/>
  <c r="M2023" i="1"/>
  <c r="L2023" i="1"/>
  <c r="H2023" i="1"/>
  <c r="M2022" i="1"/>
  <c r="L2022" i="1"/>
  <c r="H2022" i="1"/>
  <c r="M2021" i="1"/>
  <c r="L2021" i="1"/>
  <c r="H2021" i="1"/>
  <c r="M2020" i="1"/>
  <c r="L2020" i="1"/>
  <c r="H2020" i="1"/>
  <c r="M2019" i="1"/>
  <c r="L2019" i="1"/>
  <c r="H2019" i="1"/>
  <c r="M2018" i="1"/>
  <c r="L2018" i="1"/>
  <c r="H2018" i="1"/>
  <c r="M2017" i="1"/>
  <c r="L2017" i="1"/>
  <c r="H2017" i="1"/>
  <c r="M2016" i="1"/>
  <c r="L2016" i="1"/>
  <c r="H2016" i="1"/>
  <c r="M2015" i="1"/>
  <c r="L2015" i="1"/>
  <c r="H2015" i="1"/>
  <c r="M2014" i="1"/>
  <c r="L2014" i="1"/>
  <c r="H2014" i="1"/>
  <c r="M2013" i="1"/>
  <c r="L2013" i="1"/>
  <c r="H2013" i="1"/>
  <c r="M2012" i="1"/>
  <c r="L2012" i="1"/>
  <c r="H2012" i="1"/>
  <c r="M2011" i="1"/>
  <c r="L2011" i="1"/>
  <c r="H2011" i="1"/>
  <c r="M2010" i="1"/>
  <c r="L2010" i="1"/>
  <c r="H2010" i="1"/>
  <c r="M2009" i="1"/>
  <c r="L2009" i="1"/>
  <c r="H2009" i="1"/>
  <c r="M2008" i="1"/>
  <c r="L2008" i="1"/>
  <c r="H2008" i="1"/>
  <c r="M2007" i="1"/>
  <c r="L2007" i="1"/>
  <c r="H2007" i="1"/>
  <c r="M2006" i="1"/>
  <c r="L2006" i="1"/>
  <c r="H2006" i="1"/>
  <c r="M2005" i="1"/>
  <c r="L2005" i="1"/>
  <c r="H2005" i="1"/>
  <c r="M2004" i="1"/>
  <c r="L2004" i="1"/>
  <c r="H2004" i="1"/>
  <c r="M2003" i="1"/>
  <c r="L2003" i="1"/>
  <c r="H2003" i="1"/>
  <c r="M2002" i="1"/>
  <c r="L2002" i="1"/>
  <c r="H2002" i="1"/>
  <c r="M2001" i="1"/>
  <c r="L2001" i="1"/>
  <c r="H2001" i="1"/>
  <c r="M2000" i="1"/>
  <c r="L2000" i="1"/>
  <c r="H2000" i="1"/>
  <c r="M1999" i="1"/>
  <c r="L1999" i="1"/>
  <c r="H1999" i="1"/>
  <c r="M1998" i="1"/>
  <c r="L1998" i="1"/>
  <c r="H1998" i="1"/>
  <c r="M1997" i="1"/>
  <c r="L1997" i="1"/>
  <c r="H1997" i="1"/>
  <c r="M1996" i="1"/>
  <c r="L1996" i="1"/>
  <c r="H1996" i="1"/>
  <c r="M1995" i="1"/>
  <c r="L1995" i="1"/>
  <c r="H1995" i="1"/>
  <c r="M1994" i="1"/>
  <c r="L1994" i="1"/>
  <c r="H1994" i="1"/>
  <c r="M1993" i="1"/>
  <c r="L1993" i="1"/>
  <c r="H1993" i="1"/>
  <c r="M1992" i="1"/>
  <c r="L1992" i="1"/>
  <c r="H1992" i="1"/>
  <c r="M1991" i="1"/>
  <c r="L1991" i="1"/>
  <c r="H1991" i="1"/>
  <c r="M1990" i="1"/>
  <c r="L1990" i="1"/>
  <c r="H1990" i="1"/>
  <c r="M1989" i="1"/>
  <c r="L1989" i="1"/>
  <c r="H1989" i="1"/>
  <c r="M1988" i="1"/>
  <c r="L1988" i="1"/>
  <c r="H1988" i="1"/>
  <c r="M1987" i="1"/>
  <c r="L1987" i="1"/>
  <c r="H1987" i="1"/>
  <c r="M1986" i="1"/>
  <c r="L1986" i="1"/>
  <c r="H1986" i="1"/>
  <c r="M1985" i="1"/>
  <c r="L1985" i="1"/>
  <c r="H1985" i="1"/>
  <c r="M1984" i="1"/>
  <c r="L1984" i="1"/>
  <c r="H1984" i="1"/>
  <c r="M1983" i="1"/>
  <c r="L1983" i="1"/>
  <c r="H1983" i="1"/>
  <c r="M1982" i="1"/>
  <c r="L1982" i="1"/>
  <c r="H1982" i="1"/>
  <c r="M1981" i="1"/>
  <c r="L1981" i="1"/>
  <c r="H1981" i="1"/>
  <c r="M1980" i="1"/>
  <c r="L1980" i="1"/>
  <c r="H1980" i="1"/>
  <c r="M1979" i="1"/>
  <c r="L1979" i="1"/>
  <c r="H1979" i="1"/>
  <c r="M1978" i="1"/>
  <c r="L1978" i="1"/>
  <c r="H1978" i="1"/>
  <c r="M1977" i="1"/>
  <c r="L1977" i="1"/>
  <c r="H1977" i="1"/>
  <c r="M1976" i="1"/>
  <c r="L1976" i="1"/>
  <c r="H1976" i="1"/>
  <c r="M1975" i="1"/>
  <c r="L1975" i="1"/>
  <c r="H1975" i="1"/>
  <c r="M1974" i="1"/>
  <c r="L1974" i="1"/>
  <c r="H1974" i="1"/>
  <c r="M1973" i="1"/>
  <c r="L1973" i="1"/>
  <c r="H1973" i="1"/>
  <c r="M1972" i="1"/>
  <c r="L1972" i="1"/>
  <c r="H1972" i="1"/>
  <c r="M1971" i="1"/>
  <c r="L1971" i="1"/>
  <c r="H1971" i="1"/>
  <c r="M1970" i="1"/>
  <c r="L1970" i="1"/>
  <c r="H1970" i="1"/>
  <c r="M1969" i="1"/>
  <c r="L1969" i="1"/>
  <c r="H1969" i="1"/>
  <c r="M1968" i="1"/>
  <c r="L1968" i="1"/>
  <c r="H1968" i="1"/>
  <c r="M1967" i="1"/>
  <c r="L1967" i="1"/>
  <c r="H1967" i="1"/>
  <c r="M1966" i="1"/>
  <c r="L1966" i="1"/>
  <c r="H1966" i="1"/>
  <c r="M1965" i="1"/>
  <c r="L1965" i="1"/>
  <c r="H1965" i="1"/>
  <c r="M1964" i="1"/>
  <c r="L1964" i="1"/>
  <c r="H1964" i="1"/>
  <c r="M1963" i="1"/>
  <c r="L1963" i="1"/>
  <c r="H1963" i="1"/>
  <c r="M1962" i="1"/>
  <c r="L1962" i="1"/>
  <c r="H1962" i="1"/>
  <c r="M1961" i="1"/>
  <c r="L1961" i="1"/>
  <c r="H1961" i="1"/>
  <c r="M1960" i="1"/>
  <c r="L1960" i="1"/>
  <c r="H1960" i="1"/>
  <c r="M1959" i="1"/>
  <c r="L1959" i="1"/>
  <c r="H1959" i="1"/>
  <c r="M1958" i="1"/>
  <c r="L1958" i="1"/>
  <c r="H1958" i="1"/>
  <c r="M1957" i="1"/>
  <c r="L1957" i="1"/>
  <c r="H1957" i="1"/>
  <c r="M1956" i="1"/>
  <c r="L1956" i="1"/>
  <c r="H1956" i="1"/>
  <c r="M1955" i="1"/>
  <c r="L1955" i="1"/>
  <c r="H1955" i="1"/>
  <c r="M1954" i="1"/>
  <c r="L1954" i="1"/>
  <c r="H1954" i="1"/>
  <c r="M1953" i="1"/>
  <c r="L1953" i="1"/>
  <c r="H1953" i="1"/>
  <c r="M1952" i="1"/>
  <c r="L1952" i="1"/>
  <c r="H1952" i="1"/>
  <c r="M1951" i="1"/>
  <c r="L1951" i="1"/>
  <c r="M1950" i="1"/>
  <c r="L1950" i="1"/>
  <c r="H1950" i="1"/>
  <c r="E1950" i="1"/>
  <c r="M1949" i="1"/>
  <c r="L1949" i="1"/>
  <c r="H1949" i="1"/>
  <c r="F1949" i="1"/>
  <c r="M1948" i="1"/>
  <c r="L1948" i="1"/>
  <c r="H1948" i="1"/>
  <c r="F1948" i="1"/>
  <c r="M1947" i="1"/>
  <c r="L1947" i="1"/>
  <c r="H1947" i="1"/>
  <c r="F1947" i="1"/>
  <c r="M1946" i="1"/>
  <c r="L1946" i="1"/>
  <c r="H1946" i="1"/>
  <c r="F1946" i="1"/>
  <c r="M1945" i="1"/>
  <c r="L1945" i="1"/>
  <c r="H1945" i="1"/>
  <c r="F1945" i="1"/>
  <c r="M1944" i="1"/>
  <c r="L1944" i="1"/>
  <c r="H1944" i="1"/>
  <c r="F1944" i="1"/>
  <c r="M1943" i="1"/>
  <c r="L1943" i="1"/>
  <c r="H1943" i="1"/>
  <c r="F1943" i="1"/>
  <c r="M1942" i="1"/>
  <c r="L1942" i="1"/>
  <c r="H1942" i="1"/>
  <c r="F1942" i="1"/>
  <c r="M1941" i="1"/>
  <c r="L1941" i="1"/>
  <c r="H1941" i="1"/>
  <c r="F1941" i="1"/>
  <c r="M1940" i="1"/>
  <c r="L1940" i="1"/>
  <c r="H1940" i="1"/>
  <c r="F1940" i="1"/>
  <c r="M1939" i="1"/>
  <c r="L1939" i="1"/>
  <c r="H1939" i="1"/>
  <c r="F1939" i="1"/>
  <c r="M1938" i="1"/>
  <c r="L1938" i="1"/>
  <c r="H1938" i="1"/>
  <c r="F1938" i="1"/>
  <c r="M1937" i="1"/>
  <c r="L1937" i="1"/>
  <c r="H1937" i="1"/>
  <c r="F1937" i="1"/>
  <c r="M1936" i="1"/>
  <c r="L1936" i="1"/>
  <c r="H1936" i="1"/>
  <c r="F1936" i="1"/>
  <c r="M1935" i="1"/>
  <c r="L1935" i="1"/>
  <c r="H1935" i="1"/>
  <c r="F1935" i="1"/>
  <c r="M1934" i="1"/>
  <c r="L1934" i="1"/>
  <c r="H1934" i="1"/>
  <c r="F1934" i="1"/>
  <c r="M1933" i="1"/>
  <c r="L1933" i="1"/>
  <c r="H1933" i="1"/>
  <c r="F1933" i="1"/>
  <c r="M1932" i="1"/>
  <c r="L1932" i="1"/>
  <c r="H1932" i="1"/>
  <c r="F1932" i="1"/>
  <c r="M1931" i="1"/>
  <c r="L1931" i="1"/>
  <c r="H1931" i="1"/>
  <c r="F1931" i="1"/>
  <c r="M1930" i="1"/>
  <c r="L1930" i="1"/>
  <c r="H1930" i="1"/>
  <c r="F1930" i="1"/>
  <c r="M1929" i="1"/>
  <c r="L1929" i="1"/>
  <c r="H1929" i="1"/>
  <c r="F1929" i="1"/>
  <c r="M1928" i="1"/>
  <c r="L1928" i="1"/>
  <c r="H1928" i="1"/>
  <c r="F1928" i="1"/>
  <c r="M1927" i="1"/>
  <c r="L1927" i="1"/>
  <c r="H1927" i="1"/>
  <c r="F1927" i="1"/>
  <c r="M1926" i="1"/>
  <c r="L1926" i="1"/>
  <c r="H1926" i="1"/>
  <c r="F1926" i="1"/>
  <c r="M1925" i="1"/>
  <c r="L1925" i="1"/>
  <c r="H1925" i="1"/>
  <c r="F1925" i="1"/>
  <c r="M1924" i="1"/>
  <c r="L1924" i="1"/>
  <c r="H1924" i="1"/>
  <c r="F1924" i="1"/>
  <c r="M1923" i="1"/>
  <c r="L1923" i="1"/>
  <c r="H1923" i="1"/>
  <c r="F1923" i="1"/>
  <c r="M1922" i="1"/>
  <c r="L1922" i="1"/>
  <c r="H1922" i="1"/>
  <c r="F1922" i="1"/>
  <c r="M1921" i="1"/>
  <c r="L1921" i="1"/>
  <c r="H1921" i="1"/>
  <c r="F1921" i="1"/>
  <c r="M1920" i="1"/>
  <c r="L1920" i="1"/>
  <c r="H1920" i="1"/>
  <c r="F1920" i="1"/>
  <c r="M1919" i="1"/>
  <c r="L1919" i="1"/>
  <c r="H1919" i="1"/>
  <c r="F1919" i="1"/>
  <c r="M1918" i="1"/>
  <c r="L1918" i="1"/>
  <c r="H1918" i="1"/>
  <c r="F1918" i="1"/>
  <c r="M1917" i="1"/>
  <c r="L1917" i="1"/>
  <c r="H1917" i="1"/>
  <c r="F1917" i="1"/>
  <c r="M1916" i="1"/>
  <c r="L1916" i="1"/>
  <c r="H1916" i="1"/>
  <c r="F1916" i="1"/>
  <c r="M1915" i="1"/>
  <c r="L1915" i="1"/>
  <c r="H1915" i="1"/>
  <c r="F1915" i="1"/>
  <c r="M1914" i="1"/>
  <c r="L1914" i="1"/>
  <c r="H1914" i="1"/>
  <c r="F1914" i="1"/>
  <c r="M1913" i="1"/>
  <c r="L1913" i="1"/>
  <c r="H1913" i="1"/>
  <c r="F1913" i="1"/>
  <c r="M1912" i="1"/>
  <c r="L1912" i="1"/>
  <c r="H1912" i="1"/>
  <c r="F1912" i="1"/>
  <c r="M1911" i="1"/>
  <c r="L1911" i="1"/>
  <c r="H1911" i="1"/>
  <c r="F1911" i="1"/>
  <c r="M1910" i="1"/>
  <c r="L1910" i="1"/>
  <c r="H1910" i="1"/>
  <c r="F1910" i="1"/>
  <c r="M1909" i="1"/>
  <c r="L1909" i="1"/>
  <c r="H1909" i="1"/>
  <c r="F1909" i="1"/>
  <c r="M1908" i="1"/>
  <c r="L1908" i="1"/>
  <c r="H1908" i="1"/>
  <c r="F1908" i="1"/>
  <c r="M1907" i="1"/>
  <c r="L1907" i="1"/>
  <c r="H1907" i="1"/>
  <c r="F1907" i="1"/>
  <c r="M1906" i="1"/>
  <c r="L1906" i="1"/>
  <c r="H1906" i="1"/>
  <c r="F1906" i="1"/>
  <c r="M1905" i="1"/>
  <c r="L1905" i="1"/>
  <c r="H1905" i="1"/>
  <c r="F1905" i="1"/>
  <c r="M1904" i="1"/>
  <c r="L1904" i="1"/>
  <c r="H1904" i="1"/>
  <c r="F1904" i="1"/>
  <c r="M1903" i="1"/>
  <c r="L1903" i="1"/>
  <c r="H1903" i="1"/>
  <c r="F1903" i="1"/>
  <c r="M1902" i="1"/>
  <c r="L1902" i="1"/>
  <c r="H1902" i="1"/>
  <c r="F1902" i="1"/>
  <c r="M1901" i="1"/>
  <c r="L1901" i="1"/>
  <c r="H1901" i="1"/>
  <c r="F1901" i="1"/>
  <c r="M1900" i="1"/>
  <c r="L1900" i="1"/>
  <c r="H1900" i="1"/>
  <c r="F1900" i="1"/>
  <c r="M1899" i="1"/>
  <c r="L1899" i="1"/>
  <c r="H1899" i="1"/>
  <c r="F1899" i="1"/>
  <c r="M1898" i="1"/>
  <c r="L1898" i="1"/>
  <c r="H1898" i="1"/>
  <c r="F1898" i="1"/>
  <c r="M1897" i="1"/>
  <c r="L1897" i="1"/>
  <c r="H1897" i="1"/>
  <c r="F1897" i="1"/>
  <c r="M1896" i="1"/>
  <c r="L1896" i="1"/>
  <c r="H1896" i="1"/>
  <c r="F1896" i="1"/>
  <c r="M1895" i="1"/>
  <c r="L1895" i="1"/>
  <c r="H1895" i="1"/>
  <c r="F1895" i="1"/>
  <c r="M1894" i="1"/>
  <c r="L1894" i="1"/>
  <c r="H1894" i="1"/>
  <c r="F1894" i="1"/>
  <c r="M1893" i="1"/>
  <c r="L1893" i="1"/>
  <c r="H1893" i="1"/>
  <c r="F1893" i="1"/>
  <c r="M1892" i="1"/>
  <c r="L1892" i="1"/>
  <c r="H1892" i="1"/>
  <c r="F1892" i="1"/>
  <c r="M1891" i="1"/>
  <c r="L1891" i="1"/>
  <c r="H1891" i="1"/>
  <c r="F1891" i="1"/>
  <c r="M1890" i="1"/>
  <c r="L1890" i="1"/>
  <c r="H1890" i="1"/>
  <c r="F1890" i="1"/>
  <c r="M1889" i="1"/>
  <c r="L1889" i="1"/>
  <c r="H1889" i="1"/>
  <c r="F1889" i="1"/>
  <c r="M1888" i="1"/>
  <c r="L1888" i="1"/>
  <c r="H1888" i="1"/>
  <c r="F1888" i="1"/>
  <c r="M1887" i="1"/>
  <c r="L1887" i="1"/>
  <c r="H1887" i="1"/>
  <c r="F1887" i="1"/>
  <c r="M1886" i="1"/>
  <c r="L1886" i="1"/>
  <c r="H1886" i="1"/>
  <c r="F1886" i="1"/>
  <c r="M1885" i="1"/>
  <c r="L1885" i="1"/>
  <c r="H1885" i="1"/>
  <c r="F1885" i="1"/>
  <c r="M1884" i="1"/>
  <c r="L1884" i="1"/>
  <c r="H1884" i="1"/>
  <c r="F1884" i="1"/>
  <c r="M1883" i="1"/>
  <c r="L1883" i="1"/>
  <c r="G1883" i="1"/>
  <c r="H1883" i="1" s="1"/>
  <c r="F1883" i="1"/>
  <c r="M1882" i="1"/>
  <c r="L1882" i="1"/>
  <c r="G1882" i="1"/>
  <c r="H1882" i="1" s="1"/>
  <c r="F1882" i="1"/>
  <c r="M1881" i="1"/>
  <c r="L1881" i="1"/>
  <c r="G1881" i="1"/>
  <c r="H1881" i="1" s="1"/>
  <c r="F1881" i="1"/>
  <c r="M1880" i="1"/>
  <c r="L1880" i="1"/>
  <c r="H1880" i="1"/>
  <c r="F1880" i="1"/>
  <c r="M1879" i="1"/>
  <c r="L1879" i="1"/>
  <c r="H1879" i="1"/>
  <c r="F1879" i="1"/>
  <c r="M1878" i="1"/>
  <c r="L1878" i="1"/>
  <c r="H1878" i="1"/>
  <c r="F1878" i="1"/>
  <c r="M1877" i="1"/>
  <c r="L1877" i="1"/>
  <c r="H1877" i="1"/>
  <c r="F1877" i="1"/>
  <c r="M1876" i="1"/>
  <c r="L1876" i="1"/>
  <c r="H1876" i="1"/>
  <c r="F1876" i="1"/>
  <c r="M1875" i="1"/>
  <c r="L1875" i="1"/>
  <c r="H1875" i="1"/>
  <c r="F1875" i="1"/>
  <c r="M1874" i="1"/>
  <c r="L1874" i="1"/>
  <c r="H1874" i="1"/>
  <c r="F1874" i="1"/>
  <c r="M1873" i="1"/>
  <c r="L1873" i="1"/>
  <c r="H1873" i="1"/>
  <c r="F1873" i="1"/>
  <c r="M1872" i="1"/>
  <c r="L1872" i="1"/>
  <c r="H1872" i="1"/>
  <c r="F1872" i="1"/>
  <c r="M1871" i="1"/>
  <c r="L1871" i="1"/>
  <c r="H1871" i="1"/>
  <c r="F1871" i="1"/>
  <c r="M1870" i="1"/>
  <c r="L1870" i="1"/>
  <c r="H1870" i="1"/>
  <c r="F1870" i="1"/>
  <c r="M1869" i="1"/>
  <c r="L1869" i="1"/>
  <c r="H1869" i="1"/>
  <c r="F1869" i="1"/>
  <c r="M1868" i="1"/>
  <c r="L1868" i="1"/>
  <c r="H1868" i="1"/>
  <c r="F1868" i="1"/>
  <c r="M1867" i="1"/>
  <c r="L1867" i="1"/>
  <c r="H1867" i="1"/>
  <c r="F1867" i="1"/>
  <c r="M1866" i="1"/>
  <c r="L1866" i="1"/>
  <c r="H1866" i="1"/>
  <c r="F1866" i="1"/>
  <c r="M1865" i="1"/>
  <c r="L1865" i="1"/>
  <c r="H1865" i="1"/>
  <c r="F1865" i="1"/>
  <c r="M1864" i="1"/>
  <c r="L1864" i="1"/>
  <c r="H1864" i="1"/>
  <c r="F1864" i="1"/>
  <c r="M1863" i="1"/>
  <c r="L1863" i="1"/>
  <c r="H1863" i="1"/>
  <c r="F1863" i="1"/>
  <c r="M1862" i="1"/>
  <c r="L1862" i="1"/>
  <c r="H1862" i="1"/>
  <c r="F1862" i="1"/>
  <c r="M1861" i="1"/>
  <c r="L1861" i="1"/>
  <c r="H1861" i="1"/>
  <c r="F1861" i="1"/>
  <c r="M1860" i="1"/>
  <c r="L1860" i="1"/>
  <c r="H1860" i="1"/>
  <c r="F1860" i="1"/>
  <c r="M1859" i="1"/>
  <c r="L1859" i="1"/>
  <c r="H1859" i="1"/>
  <c r="F1859" i="1"/>
  <c r="M1858" i="1"/>
  <c r="L1858" i="1"/>
  <c r="H1858" i="1"/>
  <c r="F1858" i="1"/>
  <c r="M1857" i="1"/>
  <c r="L1857" i="1"/>
  <c r="H1857" i="1"/>
  <c r="F1857" i="1"/>
  <c r="M1856" i="1"/>
  <c r="L1856" i="1"/>
  <c r="H1856" i="1"/>
  <c r="F1856" i="1"/>
  <c r="M1855" i="1"/>
  <c r="L1855" i="1"/>
  <c r="H1855" i="1"/>
  <c r="F1855" i="1"/>
  <c r="M1854" i="1"/>
  <c r="L1854" i="1"/>
  <c r="H1854" i="1"/>
  <c r="F1854" i="1"/>
  <c r="M1853" i="1"/>
  <c r="L1853" i="1"/>
  <c r="H1853" i="1"/>
  <c r="F1853" i="1"/>
  <c r="M1852" i="1"/>
  <c r="L1852" i="1"/>
  <c r="H1852" i="1"/>
  <c r="F1852" i="1"/>
  <c r="B1852" i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M1851" i="1"/>
  <c r="L1851" i="1"/>
  <c r="H1851" i="1"/>
  <c r="F1851" i="1"/>
  <c r="M1850" i="1"/>
  <c r="L1850" i="1"/>
  <c r="H1850" i="1"/>
  <c r="F1850" i="1"/>
  <c r="M1849" i="1"/>
  <c r="L1849" i="1"/>
  <c r="H1849" i="1"/>
  <c r="F1849" i="1"/>
  <c r="M1848" i="1"/>
  <c r="L1848" i="1"/>
  <c r="H1848" i="1"/>
  <c r="G1848" i="1"/>
  <c r="F1848" i="1"/>
  <c r="M1847" i="1"/>
  <c r="L1847" i="1"/>
  <c r="H1847" i="1"/>
  <c r="F1847" i="1"/>
  <c r="M1846" i="1"/>
  <c r="L1846" i="1"/>
  <c r="H1846" i="1"/>
  <c r="F1846" i="1"/>
  <c r="M1845" i="1"/>
  <c r="L1845" i="1"/>
  <c r="H1845" i="1"/>
  <c r="F1845" i="1"/>
  <c r="M1844" i="1"/>
  <c r="L1844" i="1"/>
  <c r="H1844" i="1"/>
  <c r="F1844" i="1"/>
  <c r="B1844" i="1"/>
  <c r="B1845" i="1" s="1"/>
  <c r="B1846" i="1" s="1"/>
  <c r="B1847" i="1" s="1"/>
  <c r="B1848" i="1" s="1"/>
  <c r="B1849" i="1" s="1"/>
  <c r="B1850" i="1" s="1"/>
  <c r="B1851" i="1" s="1"/>
  <c r="M1843" i="1"/>
  <c r="L1843" i="1"/>
  <c r="H1843" i="1"/>
  <c r="F1843" i="1"/>
  <c r="M1842" i="1"/>
  <c r="L1842" i="1"/>
  <c r="H1842" i="1"/>
  <c r="F1842" i="1"/>
  <c r="M1841" i="1"/>
  <c r="L1841" i="1"/>
  <c r="H1841" i="1"/>
  <c r="F1841" i="1"/>
  <c r="M1840" i="1"/>
  <c r="L1840" i="1"/>
  <c r="H1840" i="1"/>
  <c r="F1840" i="1"/>
  <c r="M1839" i="1"/>
  <c r="L1839" i="1"/>
  <c r="H1839" i="1"/>
  <c r="F1839" i="1"/>
  <c r="M1838" i="1"/>
  <c r="L1838" i="1"/>
  <c r="H1838" i="1"/>
  <c r="F1838" i="1"/>
  <c r="M1837" i="1"/>
  <c r="L1837" i="1"/>
  <c r="H1837" i="1"/>
  <c r="F1837" i="1"/>
  <c r="M1836" i="1"/>
  <c r="L1836" i="1"/>
  <c r="H1836" i="1"/>
  <c r="F1836" i="1"/>
  <c r="M1835" i="1"/>
  <c r="L1835" i="1"/>
  <c r="H1835" i="1"/>
  <c r="F1835" i="1"/>
  <c r="M1834" i="1"/>
  <c r="L1834" i="1"/>
  <c r="H1834" i="1"/>
  <c r="F1834" i="1"/>
  <c r="M1833" i="1"/>
  <c r="L1833" i="1"/>
  <c r="H1833" i="1"/>
  <c r="F1833" i="1"/>
  <c r="M1832" i="1"/>
  <c r="L1832" i="1"/>
  <c r="H1832" i="1"/>
  <c r="F1832" i="1"/>
  <c r="D1832" i="1"/>
  <c r="M1831" i="1"/>
  <c r="L1831" i="1"/>
  <c r="H1831" i="1"/>
  <c r="F1831" i="1"/>
  <c r="R1830" i="1"/>
  <c r="M1830" i="1"/>
  <c r="L1830" i="1"/>
  <c r="H1830" i="1"/>
  <c r="F1830" i="1"/>
  <c r="B1830" i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M1829" i="1"/>
  <c r="L1829" i="1"/>
  <c r="H1829" i="1"/>
  <c r="F1829" i="1"/>
  <c r="D1829" i="1"/>
  <c r="D1830" i="1" s="1"/>
  <c r="D1831" i="1" s="1"/>
  <c r="M1828" i="1"/>
  <c r="L1828" i="1"/>
  <c r="H1828" i="1"/>
  <c r="M1827" i="1"/>
  <c r="L1827" i="1"/>
  <c r="M1826" i="1"/>
  <c r="L1826" i="1"/>
  <c r="M1825" i="1"/>
  <c r="L1825" i="1"/>
  <c r="H1825" i="1"/>
  <c r="M1824" i="1"/>
  <c r="L1824" i="1"/>
  <c r="M1823" i="1"/>
  <c r="L1823" i="1"/>
  <c r="M1822" i="1"/>
  <c r="L1822" i="1"/>
  <c r="M1821" i="1"/>
  <c r="L1821" i="1"/>
  <c r="M1820" i="1"/>
  <c r="L1820" i="1"/>
  <c r="M1819" i="1"/>
  <c r="L1819" i="1"/>
  <c r="M1818" i="1"/>
  <c r="L1818" i="1"/>
  <c r="M1817" i="1"/>
  <c r="L1817" i="1"/>
  <c r="M1816" i="1"/>
  <c r="L1816" i="1"/>
  <c r="M1815" i="1"/>
  <c r="L1815" i="1"/>
  <c r="M1814" i="1"/>
  <c r="L1814" i="1"/>
  <c r="E1814" i="1"/>
  <c r="M1813" i="1"/>
  <c r="L1813" i="1"/>
  <c r="E1813" i="1"/>
  <c r="M1812" i="1"/>
  <c r="L1812" i="1"/>
  <c r="M1811" i="1"/>
  <c r="L1811" i="1"/>
  <c r="M1810" i="1"/>
  <c r="L1810" i="1"/>
  <c r="M1809" i="1"/>
  <c r="L1809" i="1"/>
  <c r="M1808" i="1"/>
  <c r="L1808" i="1"/>
  <c r="M1807" i="1"/>
  <c r="L1807" i="1"/>
  <c r="M1806" i="1"/>
  <c r="L1806" i="1"/>
  <c r="M1805" i="1"/>
  <c r="L1805" i="1"/>
  <c r="M1804" i="1"/>
  <c r="L1804" i="1"/>
  <c r="M1803" i="1"/>
  <c r="L1803" i="1"/>
  <c r="M1802" i="1"/>
  <c r="L1802" i="1"/>
  <c r="M1801" i="1"/>
  <c r="L1801" i="1"/>
  <c r="M1800" i="1"/>
  <c r="L1800" i="1"/>
  <c r="M1799" i="1"/>
  <c r="L1799" i="1"/>
  <c r="M1798" i="1"/>
  <c r="L1798" i="1"/>
  <c r="M1797" i="1"/>
  <c r="L1797" i="1"/>
  <c r="M1796" i="1"/>
  <c r="L1796" i="1"/>
  <c r="M1795" i="1"/>
  <c r="L1795" i="1"/>
  <c r="M1794" i="1"/>
  <c r="L1794" i="1"/>
  <c r="M1793" i="1"/>
  <c r="L1793" i="1"/>
  <c r="M1792" i="1"/>
  <c r="L1792" i="1"/>
  <c r="M1791" i="1"/>
  <c r="L1791" i="1"/>
  <c r="M1790" i="1"/>
  <c r="L1790" i="1"/>
  <c r="M1789" i="1"/>
  <c r="L1789" i="1"/>
  <c r="M1788" i="1"/>
  <c r="L1788" i="1"/>
  <c r="M1787" i="1"/>
  <c r="L1787" i="1"/>
  <c r="M1786" i="1"/>
  <c r="L1786" i="1"/>
  <c r="M1785" i="1"/>
  <c r="L1785" i="1"/>
  <c r="M1784" i="1"/>
  <c r="L1784" i="1"/>
  <c r="M1783" i="1"/>
  <c r="L1783" i="1"/>
  <c r="M1782" i="1"/>
  <c r="L1782" i="1"/>
  <c r="E1782" i="1"/>
  <c r="M1781" i="1"/>
  <c r="L1781" i="1"/>
  <c r="M1780" i="1"/>
  <c r="L1780" i="1"/>
  <c r="E1780" i="1"/>
  <c r="M1779" i="1"/>
  <c r="L1779" i="1"/>
  <c r="M1778" i="1"/>
  <c r="L1778" i="1"/>
  <c r="M1777" i="1"/>
  <c r="L1777" i="1"/>
  <c r="M1776" i="1"/>
  <c r="L1776" i="1"/>
  <c r="E1776" i="1"/>
  <c r="M1775" i="1"/>
  <c r="L1775" i="1"/>
  <c r="E1775" i="1"/>
  <c r="M1774" i="1"/>
  <c r="L1774" i="1"/>
  <c r="M1773" i="1"/>
  <c r="L1773" i="1"/>
  <c r="M1772" i="1"/>
  <c r="L1772" i="1"/>
  <c r="M1771" i="1"/>
  <c r="L1771" i="1"/>
  <c r="E1771" i="1"/>
  <c r="M1770" i="1"/>
  <c r="L1770" i="1"/>
  <c r="M1769" i="1"/>
  <c r="L1769" i="1"/>
  <c r="M1768" i="1"/>
  <c r="L1768" i="1"/>
  <c r="E1768" i="1"/>
  <c r="M1767" i="1"/>
  <c r="L1767" i="1"/>
  <c r="M1766" i="1"/>
  <c r="L1766" i="1"/>
  <c r="E1766" i="1"/>
  <c r="M1765" i="1"/>
  <c r="L1765" i="1"/>
  <c r="M1764" i="1"/>
  <c r="L1764" i="1"/>
  <c r="M1763" i="1"/>
  <c r="L1763" i="1"/>
  <c r="E1763" i="1"/>
  <c r="M1762" i="1"/>
  <c r="L1762" i="1"/>
  <c r="M1761" i="1"/>
  <c r="L1761" i="1"/>
  <c r="M1760" i="1"/>
  <c r="L1760" i="1"/>
  <c r="M1759" i="1"/>
  <c r="L1759" i="1"/>
  <c r="M1758" i="1"/>
  <c r="L1758" i="1"/>
  <c r="M1757" i="1"/>
  <c r="L1757" i="1"/>
  <c r="M1756" i="1"/>
  <c r="L1756" i="1"/>
  <c r="M1755" i="1"/>
  <c r="L1755" i="1"/>
  <c r="M1754" i="1"/>
  <c r="L1754" i="1"/>
  <c r="M1753" i="1"/>
  <c r="L1753" i="1"/>
  <c r="M1752" i="1"/>
  <c r="L1752" i="1"/>
  <c r="M1751" i="1"/>
  <c r="L1751" i="1"/>
  <c r="M1750" i="1"/>
  <c r="L1750" i="1"/>
  <c r="M1749" i="1"/>
  <c r="L1749" i="1"/>
  <c r="M1748" i="1"/>
  <c r="L1748" i="1"/>
  <c r="M1747" i="1"/>
  <c r="L1747" i="1"/>
  <c r="M1746" i="1"/>
  <c r="L1746" i="1"/>
  <c r="M1745" i="1"/>
  <c r="L1745" i="1"/>
  <c r="M1744" i="1"/>
  <c r="L1744" i="1"/>
  <c r="M1743" i="1"/>
  <c r="L1743" i="1"/>
  <c r="L1742" i="1"/>
  <c r="I1742" i="1"/>
  <c r="M1742" i="1" s="1"/>
  <c r="L1741" i="1"/>
  <c r="I1741" i="1"/>
  <c r="M1741" i="1" s="1"/>
  <c r="L1740" i="1"/>
  <c r="I1740" i="1"/>
  <c r="M1740" i="1" s="1"/>
  <c r="M1739" i="1"/>
  <c r="L1739" i="1"/>
  <c r="I1739" i="1"/>
  <c r="L1738" i="1"/>
  <c r="I1738" i="1"/>
  <c r="M1738" i="1" s="1"/>
  <c r="L1737" i="1"/>
  <c r="I1737" i="1"/>
  <c r="M1737" i="1" s="1"/>
  <c r="M1736" i="1"/>
  <c r="L1736" i="1"/>
  <c r="I1736" i="1"/>
  <c r="M1735" i="1"/>
  <c r="L1735" i="1"/>
  <c r="I1735" i="1"/>
  <c r="L1734" i="1"/>
  <c r="I1734" i="1"/>
  <c r="M1734" i="1" s="1"/>
  <c r="E1734" i="1"/>
  <c r="M1733" i="1"/>
  <c r="L1733" i="1"/>
  <c r="I1733" i="1"/>
  <c r="E1733" i="1"/>
  <c r="M1732" i="1"/>
  <c r="L1732" i="1"/>
  <c r="I1732" i="1"/>
  <c r="M1731" i="1"/>
  <c r="L1731" i="1"/>
  <c r="I1731" i="1"/>
  <c r="M1730" i="1"/>
  <c r="L1730" i="1"/>
  <c r="I1730" i="1"/>
  <c r="M1729" i="1"/>
  <c r="L1729" i="1"/>
  <c r="I1729" i="1"/>
  <c r="M1728" i="1"/>
  <c r="L1728" i="1"/>
  <c r="I1728" i="1"/>
  <c r="M1727" i="1"/>
  <c r="L1727" i="1"/>
  <c r="I1727" i="1"/>
  <c r="M1726" i="1"/>
  <c r="L1726" i="1"/>
  <c r="I1726" i="1"/>
  <c r="L1725" i="1"/>
  <c r="I1725" i="1"/>
  <c r="M1725" i="1" s="1"/>
  <c r="M1724" i="1"/>
  <c r="L1724" i="1"/>
  <c r="I1724" i="1"/>
  <c r="L1723" i="1"/>
  <c r="I1723" i="1"/>
  <c r="M1723" i="1" s="1"/>
  <c r="M1722" i="1"/>
  <c r="L1722" i="1"/>
  <c r="I1722" i="1"/>
  <c r="M1721" i="1"/>
  <c r="L1721" i="1"/>
  <c r="I1721" i="1"/>
  <c r="L1720" i="1"/>
  <c r="I1720" i="1"/>
  <c r="M1720" i="1" s="1"/>
  <c r="E1720" i="1"/>
  <c r="M1719" i="1"/>
  <c r="L1719" i="1"/>
  <c r="I1719" i="1"/>
  <c r="E1719" i="1"/>
  <c r="M1718" i="1"/>
  <c r="L1718" i="1"/>
  <c r="I1718" i="1"/>
  <c r="L1717" i="1"/>
  <c r="I1717" i="1"/>
  <c r="M1717" i="1" s="1"/>
  <c r="M1716" i="1"/>
  <c r="L1716" i="1"/>
  <c r="I1716" i="1"/>
  <c r="M1715" i="1"/>
  <c r="L1715" i="1"/>
  <c r="I1715" i="1"/>
  <c r="M1714" i="1"/>
  <c r="L1714" i="1"/>
  <c r="I1714" i="1"/>
  <c r="M1713" i="1"/>
  <c r="L1713" i="1"/>
  <c r="I1713" i="1"/>
  <c r="L1712" i="1"/>
  <c r="I1712" i="1"/>
  <c r="M1712" i="1" s="1"/>
  <c r="M1711" i="1"/>
  <c r="L1711" i="1"/>
  <c r="I1711" i="1"/>
  <c r="M1710" i="1"/>
  <c r="L1710" i="1"/>
  <c r="I1710" i="1"/>
  <c r="M1709" i="1"/>
  <c r="L1709" i="1"/>
  <c r="I1709" i="1"/>
  <c r="M1708" i="1"/>
  <c r="L1708" i="1"/>
  <c r="I1708" i="1"/>
  <c r="M1707" i="1"/>
  <c r="L1707" i="1"/>
  <c r="I1707" i="1"/>
  <c r="M1706" i="1"/>
  <c r="L1706" i="1"/>
  <c r="I1706" i="1"/>
  <c r="L1705" i="1"/>
  <c r="I1705" i="1"/>
  <c r="M1705" i="1" s="1"/>
  <c r="L1704" i="1"/>
  <c r="I1704" i="1"/>
  <c r="M1704" i="1" s="1"/>
  <c r="L1703" i="1"/>
  <c r="I1703" i="1"/>
  <c r="M1703" i="1" s="1"/>
  <c r="M1702" i="1"/>
  <c r="L1702" i="1"/>
  <c r="I1702" i="1"/>
  <c r="L1701" i="1"/>
  <c r="I1701" i="1"/>
  <c r="M1701" i="1" s="1"/>
  <c r="L1700" i="1"/>
  <c r="I1700" i="1"/>
  <c r="M1700" i="1" s="1"/>
  <c r="E1700" i="1"/>
  <c r="L1699" i="1"/>
  <c r="I1699" i="1"/>
  <c r="M1699" i="1" s="1"/>
  <c r="M1698" i="1"/>
  <c r="L1698" i="1"/>
  <c r="I1698" i="1"/>
  <c r="E1698" i="1"/>
  <c r="L1697" i="1"/>
  <c r="I1697" i="1"/>
  <c r="M1697" i="1" s="1"/>
  <c r="L1696" i="1"/>
  <c r="I1696" i="1"/>
  <c r="M1696" i="1" s="1"/>
  <c r="E1696" i="1"/>
  <c r="M1695" i="1"/>
  <c r="L1695" i="1"/>
  <c r="I1695" i="1"/>
  <c r="M1694" i="1"/>
  <c r="L1694" i="1"/>
  <c r="I1694" i="1"/>
  <c r="L1693" i="1"/>
  <c r="I1693" i="1"/>
  <c r="M1693" i="1" s="1"/>
  <c r="M1692" i="1"/>
  <c r="L1692" i="1"/>
  <c r="I1692" i="1"/>
  <c r="E1692" i="1"/>
  <c r="E1693" i="1" s="1"/>
  <c r="M1691" i="1"/>
  <c r="L1691" i="1"/>
  <c r="I1691" i="1"/>
  <c r="E1691" i="1"/>
  <c r="L1690" i="1"/>
  <c r="I1690" i="1"/>
  <c r="M1690" i="1" s="1"/>
  <c r="L1689" i="1"/>
  <c r="I1689" i="1"/>
  <c r="M1689" i="1" s="1"/>
  <c r="E1689" i="1"/>
  <c r="M1688" i="1"/>
  <c r="L1688" i="1"/>
  <c r="I1688" i="1"/>
  <c r="L1687" i="1"/>
  <c r="I1687" i="1"/>
  <c r="M1687" i="1" s="1"/>
  <c r="L1686" i="1"/>
  <c r="I1686" i="1"/>
  <c r="M1686" i="1" s="1"/>
  <c r="M1685" i="1"/>
  <c r="L1685" i="1"/>
  <c r="I1685" i="1"/>
  <c r="M1684" i="1"/>
  <c r="L1684" i="1"/>
  <c r="I1684" i="1"/>
  <c r="E1684" i="1"/>
  <c r="M1683" i="1"/>
  <c r="L1683" i="1"/>
  <c r="I1683" i="1"/>
  <c r="M1682" i="1"/>
  <c r="L1682" i="1"/>
  <c r="I1682" i="1"/>
  <c r="M1681" i="1"/>
  <c r="L1681" i="1"/>
  <c r="I1681" i="1"/>
  <c r="M1680" i="1"/>
  <c r="L1680" i="1"/>
  <c r="I1680" i="1"/>
  <c r="M1679" i="1"/>
  <c r="L1679" i="1"/>
  <c r="I1679" i="1"/>
  <c r="M1678" i="1"/>
  <c r="L1678" i="1"/>
  <c r="I1678" i="1"/>
  <c r="M1677" i="1"/>
  <c r="L1677" i="1"/>
  <c r="I1677" i="1"/>
  <c r="M1676" i="1"/>
  <c r="L1676" i="1"/>
  <c r="I1676" i="1"/>
  <c r="M1675" i="1"/>
  <c r="L1675" i="1"/>
  <c r="I1675" i="1"/>
  <c r="L1674" i="1"/>
  <c r="I1674" i="1"/>
  <c r="M1674" i="1" s="1"/>
  <c r="M1673" i="1"/>
  <c r="L1673" i="1"/>
  <c r="M1672" i="1"/>
  <c r="L1672" i="1"/>
  <c r="I1672" i="1"/>
  <c r="L1671" i="1"/>
  <c r="I1671" i="1"/>
  <c r="M1671" i="1" s="1"/>
  <c r="L1670" i="1"/>
  <c r="I1670" i="1"/>
  <c r="M1670" i="1" s="1"/>
  <c r="M1669" i="1"/>
  <c r="L1669" i="1"/>
  <c r="I1669" i="1"/>
  <c r="L1668" i="1"/>
  <c r="I1668" i="1"/>
  <c r="M1668" i="1" s="1"/>
  <c r="L1667" i="1"/>
  <c r="I1667" i="1"/>
  <c r="M1667" i="1" s="1"/>
  <c r="M1666" i="1"/>
  <c r="L1666" i="1"/>
  <c r="L1665" i="1"/>
  <c r="I1665" i="1"/>
  <c r="M1665" i="1" s="1"/>
  <c r="L1664" i="1"/>
  <c r="I1664" i="1"/>
  <c r="M1664" i="1" s="1"/>
  <c r="M1663" i="1"/>
  <c r="L1663" i="1"/>
  <c r="M1662" i="1"/>
  <c r="L1662" i="1"/>
  <c r="M1661" i="1"/>
  <c r="L1661" i="1"/>
  <c r="M1660" i="1"/>
  <c r="L1660" i="1"/>
  <c r="M1659" i="1"/>
  <c r="L1659" i="1"/>
  <c r="M1658" i="1"/>
  <c r="L1658" i="1"/>
  <c r="I1658" i="1"/>
  <c r="M1657" i="1"/>
  <c r="L1657" i="1"/>
  <c r="I1657" i="1"/>
  <c r="L1656" i="1"/>
  <c r="I1656" i="1"/>
  <c r="M1656" i="1" s="1"/>
  <c r="M1655" i="1"/>
  <c r="L1655" i="1"/>
  <c r="I1655" i="1"/>
  <c r="L1654" i="1"/>
  <c r="I1654" i="1"/>
  <c r="M1654" i="1" s="1"/>
  <c r="M1653" i="1"/>
  <c r="L1653" i="1"/>
  <c r="I1653" i="1"/>
  <c r="L1652" i="1"/>
  <c r="I1652" i="1"/>
  <c r="M1652" i="1" s="1"/>
  <c r="L1651" i="1"/>
  <c r="I1651" i="1"/>
  <c r="M1651" i="1" s="1"/>
  <c r="M1650" i="1"/>
  <c r="L1650" i="1"/>
  <c r="I1650" i="1"/>
  <c r="M1649" i="1"/>
  <c r="L1649" i="1"/>
  <c r="I1649" i="1"/>
  <c r="M1648" i="1"/>
  <c r="L1648" i="1"/>
  <c r="I1648" i="1"/>
  <c r="M1647" i="1"/>
  <c r="L1647" i="1"/>
  <c r="I1647" i="1"/>
  <c r="M1646" i="1"/>
  <c r="L1646" i="1"/>
  <c r="I1646" i="1"/>
  <c r="L1645" i="1"/>
  <c r="I1645" i="1"/>
  <c r="M1645" i="1" s="1"/>
  <c r="E1645" i="1"/>
  <c r="M1644" i="1"/>
  <c r="L1644" i="1"/>
  <c r="I1644" i="1"/>
  <c r="L1643" i="1"/>
  <c r="I1643" i="1"/>
  <c r="M1643" i="1" s="1"/>
  <c r="L1642" i="1"/>
  <c r="I1642" i="1"/>
  <c r="M1642" i="1" s="1"/>
  <c r="L1641" i="1"/>
  <c r="I1641" i="1"/>
  <c r="M1641" i="1" s="1"/>
  <c r="E1641" i="1"/>
  <c r="M1640" i="1"/>
  <c r="L1640" i="1"/>
  <c r="I1640" i="1"/>
  <c r="M1639" i="1"/>
  <c r="L1639" i="1"/>
  <c r="I1639" i="1"/>
  <c r="L1638" i="1"/>
  <c r="I1638" i="1"/>
  <c r="M1638" i="1" s="1"/>
  <c r="L1637" i="1"/>
  <c r="I1637" i="1"/>
  <c r="M1637" i="1" s="1"/>
  <c r="E1637" i="1"/>
  <c r="L1636" i="1"/>
  <c r="I1636" i="1"/>
  <c r="M1636" i="1" s="1"/>
  <c r="L1635" i="1"/>
  <c r="I1635" i="1"/>
  <c r="M1635" i="1" s="1"/>
  <c r="L1634" i="1"/>
  <c r="I1634" i="1"/>
  <c r="M1634" i="1" s="1"/>
  <c r="M1633" i="1"/>
  <c r="L1633" i="1"/>
  <c r="I1633" i="1"/>
  <c r="L1632" i="1"/>
  <c r="I1632" i="1"/>
  <c r="M1632" i="1" s="1"/>
  <c r="M1631" i="1"/>
  <c r="L1631" i="1"/>
  <c r="I1631" i="1"/>
  <c r="E1631" i="1"/>
  <c r="M1630" i="1"/>
  <c r="L1630" i="1"/>
  <c r="I1630" i="1"/>
  <c r="E1630" i="1"/>
  <c r="E1629" i="1" s="1"/>
  <c r="M1629" i="1"/>
  <c r="L1629" i="1"/>
  <c r="I1629" i="1"/>
  <c r="M1628" i="1"/>
  <c r="L1628" i="1"/>
  <c r="I1628" i="1"/>
  <c r="M1627" i="1"/>
  <c r="L1627" i="1"/>
  <c r="I1627" i="1"/>
  <c r="L1626" i="1"/>
  <c r="I1626" i="1"/>
  <c r="M1626" i="1" s="1"/>
  <c r="M1625" i="1"/>
  <c r="L1625" i="1"/>
  <c r="I1625" i="1"/>
  <c r="L1624" i="1"/>
  <c r="I1624" i="1"/>
  <c r="M1624" i="1" s="1"/>
  <c r="M1623" i="1"/>
  <c r="L1623" i="1"/>
  <c r="I1623" i="1"/>
  <c r="E1623" i="1"/>
  <c r="L1622" i="1"/>
  <c r="I1622" i="1"/>
  <c r="M1622" i="1" s="1"/>
  <c r="M1621" i="1"/>
  <c r="L1621" i="1"/>
  <c r="I1621" i="1"/>
  <c r="M1620" i="1"/>
  <c r="L1620" i="1"/>
  <c r="I1620" i="1"/>
  <c r="E1620" i="1"/>
  <c r="L1619" i="1"/>
  <c r="I1619" i="1"/>
  <c r="M1619" i="1" s="1"/>
  <c r="M1618" i="1"/>
  <c r="L1618" i="1"/>
  <c r="I1618" i="1"/>
  <c r="L1617" i="1"/>
  <c r="I1617" i="1"/>
  <c r="M1617" i="1" s="1"/>
  <c r="L1616" i="1"/>
  <c r="I1616" i="1"/>
  <c r="M1616" i="1" s="1"/>
  <c r="M1615" i="1"/>
  <c r="L1615" i="1"/>
  <c r="I1615" i="1"/>
  <c r="M1614" i="1"/>
  <c r="L1614" i="1"/>
  <c r="I1614" i="1"/>
  <c r="E1614" i="1"/>
  <c r="L1613" i="1"/>
  <c r="I1613" i="1"/>
  <c r="M1613" i="1" s="1"/>
  <c r="E1613" i="1"/>
  <c r="L1612" i="1"/>
  <c r="I1612" i="1"/>
  <c r="M1612" i="1" s="1"/>
  <c r="L1611" i="1"/>
  <c r="I1611" i="1"/>
  <c r="M1611" i="1" s="1"/>
  <c r="F1611" i="1"/>
  <c r="L1610" i="1"/>
  <c r="I1610" i="1"/>
  <c r="M1610" i="1" s="1"/>
  <c r="F1610" i="1"/>
  <c r="M1609" i="1"/>
  <c r="L1609" i="1"/>
  <c r="I1609" i="1"/>
  <c r="L1608" i="1"/>
  <c r="I1608" i="1"/>
  <c r="M1608" i="1" s="1"/>
  <c r="E1608" i="1"/>
  <c r="L1607" i="1"/>
  <c r="I1607" i="1"/>
  <c r="M1607" i="1" s="1"/>
  <c r="M1606" i="1"/>
  <c r="L1606" i="1"/>
  <c r="M1605" i="1"/>
  <c r="L1605" i="1"/>
  <c r="M1604" i="1"/>
  <c r="L1604" i="1"/>
  <c r="F1604" i="1"/>
  <c r="M1603" i="1"/>
  <c r="L1603" i="1"/>
  <c r="E1603" i="1"/>
  <c r="M1602" i="1"/>
  <c r="L1602" i="1"/>
  <c r="I1602" i="1"/>
  <c r="L1601" i="1"/>
  <c r="I1601" i="1"/>
  <c r="M1601" i="1" s="1"/>
  <c r="F1601" i="1"/>
  <c r="E1601" i="1"/>
  <c r="M1600" i="1"/>
  <c r="L1600" i="1"/>
  <c r="M1599" i="1"/>
  <c r="L1599" i="1"/>
  <c r="I1599" i="1"/>
  <c r="F1599" i="1"/>
  <c r="L1598" i="1"/>
  <c r="I1598" i="1"/>
  <c r="M1598" i="1" s="1"/>
  <c r="E1598" i="1"/>
  <c r="M1597" i="1"/>
  <c r="L1597" i="1"/>
  <c r="I1597" i="1"/>
  <c r="F1597" i="1"/>
  <c r="L1596" i="1"/>
  <c r="I1596" i="1"/>
  <c r="M1596" i="1" s="1"/>
  <c r="F1596" i="1"/>
  <c r="L1595" i="1"/>
  <c r="I1595" i="1"/>
  <c r="M1595" i="1" s="1"/>
  <c r="F1595" i="1"/>
  <c r="E1595" i="1"/>
  <c r="M1594" i="1"/>
  <c r="L1594" i="1"/>
  <c r="F1594" i="1"/>
  <c r="M1593" i="1"/>
  <c r="L1593" i="1"/>
  <c r="F1593" i="1"/>
  <c r="M1592" i="1"/>
  <c r="L1592" i="1"/>
  <c r="F1592" i="1"/>
  <c r="M1591" i="1"/>
  <c r="L1591" i="1"/>
  <c r="F1591" i="1"/>
  <c r="M1590" i="1"/>
  <c r="L1590" i="1"/>
  <c r="F1590" i="1"/>
  <c r="M1589" i="1"/>
  <c r="L1589" i="1"/>
  <c r="F1589" i="1"/>
  <c r="M1588" i="1"/>
  <c r="L1588" i="1"/>
  <c r="F1588" i="1"/>
  <c r="M1587" i="1"/>
  <c r="L1587" i="1"/>
  <c r="F1587" i="1"/>
  <c r="M1586" i="1"/>
  <c r="L1586" i="1"/>
  <c r="F1586" i="1"/>
  <c r="M1585" i="1"/>
  <c r="L1585" i="1"/>
  <c r="F1585" i="1"/>
  <c r="M1584" i="1"/>
  <c r="L1584" i="1"/>
  <c r="F1584" i="1"/>
  <c r="M1583" i="1"/>
  <c r="L1583" i="1"/>
  <c r="F1583" i="1"/>
  <c r="M1582" i="1"/>
  <c r="L1582" i="1"/>
  <c r="F1582" i="1"/>
  <c r="M1581" i="1"/>
  <c r="L1581" i="1"/>
  <c r="F1581" i="1"/>
  <c r="M1580" i="1"/>
  <c r="L1580" i="1"/>
  <c r="F1580" i="1"/>
  <c r="M1579" i="1"/>
  <c r="L1579" i="1"/>
  <c r="F1579" i="1"/>
  <c r="M1578" i="1"/>
  <c r="L1578" i="1"/>
  <c r="F1578" i="1"/>
  <c r="M1577" i="1"/>
  <c r="L1577" i="1"/>
  <c r="F1577" i="1"/>
  <c r="M1576" i="1"/>
  <c r="L1576" i="1"/>
  <c r="F1576" i="1"/>
  <c r="M1575" i="1"/>
  <c r="L1575" i="1"/>
  <c r="F1575" i="1"/>
  <c r="M1574" i="1"/>
  <c r="L1574" i="1"/>
  <c r="F1574" i="1"/>
  <c r="M1573" i="1"/>
  <c r="L1573" i="1"/>
  <c r="F1573" i="1"/>
  <c r="M1572" i="1"/>
  <c r="L1572" i="1"/>
  <c r="F1572" i="1"/>
  <c r="M1571" i="1"/>
  <c r="L1571" i="1"/>
  <c r="F1571" i="1"/>
  <c r="M1570" i="1"/>
  <c r="L1570" i="1"/>
  <c r="F1570" i="1"/>
  <c r="M1569" i="1"/>
  <c r="L1569" i="1"/>
  <c r="F1569" i="1"/>
  <c r="M1568" i="1"/>
  <c r="L1568" i="1"/>
  <c r="F1568" i="1"/>
  <c r="M1567" i="1"/>
  <c r="L1567" i="1"/>
  <c r="F1567" i="1"/>
  <c r="M1566" i="1"/>
  <c r="L1566" i="1"/>
  <c r="F1566" i="1"/>
  <c r="M1565" i="1"/>
  <c r="L1565" i="1"/>
  <c r="F1565" i="1"/>
  <c r="M1564" i="1"/>
  <c r="L1564" i="1"/>
  <c r="F1564" i="1"/>
  <c r="M1563" i="1"/>
  <c r="L1563" i="1"/>
  <c r="F1563" i="1"/>
  <c r="M1562" i="1"/>
  <c r="L1562" i="1"/>
  <c r="F1562" i="1"/>
  <c r="M1561" i="1"/>
  <c r="L1561" i="1"/>
  <c r="F1561" i="1"/>
  <c r="M1560" i="1"/>
  <c r="L1560" i="1"/>
  <c r="F1560" i="1"/>
  <c r="M1559" i="1"/>
  <c r="L1559" i="1"/>
  <c r="F1559" i="1"/>
  <c r="M1558" i="1"/>
  <c r="L1558" i="1"/>
  <c r="F1558" i="1"/>
  <c r="M1557" i="1"/>
  <c r="L1557" i="1"/>
  <c r="F1557" i="1"/>
  <c r="M1556" i="1"/>
  <c r="L1556" i="1"/>
  <c r="F1556" i="1"/>
  <c r="M1555" i="1"/>
  <c r="L1555" i="1"/>
  <c r="F1555" i="1"/>
  <c r="M1554" i="1"/>
  <c r="L1554" i="1"/>
  <c r="F1554" i="1"/>
  <c r="M1553" i="1"/>
  <c r="L1553" i="1"/>
  <c r="F1553" i="1"/>
  <c r="M1552" i="1"/>
  <c r="L1552" i="1"/>
  <c r="F1552" i="1"/>
  <c r="M1551" i="1"/>
  <c r="L1551" i="1"/>
  <c r="F1551" i="1"/>
  <c r="M1550" i="1"/>
  <c r="L1550" i="1"/>
  <c r="F1550" i="1"/>
  <c r="M1549" i="1"/>
  <c r="L1549" i="1"/>
  <c r="F1549" i="1"/>
  <c r="M1548" i="1"/>
  <c r="L1548" i="1"/>
  <c r="F1548" i="1"/>
  <c r="M1547" i="1"/>
  <c r="L1547" i="1"/>
  <c r="F1547" i="1"/>
  <c r="M1546" i="1"/>
  <c r="L1546" i="1"/>
  <c r="F1546" i="1"/>
  <c r="M1545" i="1"/>
  <c r="L1545" i="1"/>
  <c r="F1545" i="1"/>
  <c r="M1544" i="1"/>
  <c r="L1544" i="1"/>
  <c r="F1544" i="1"/>
  <c r="M1543" i="1"/>
  <c r="L1543" i="1"/>
  <c r="F1543" i="1"/>
  <c r="M1542" i="1"/>
  <c r="L1542" i="1"/>
  <c r="F1542" i="1"/>
  <c r="M1541" i="1"/>
  <c r="L1541" i="1"/>
  <c r="F1541" i="1"/>
  <c r="M1540" i="1"/>
  <c r="L1540" i="1"/>
  <c r="F1540" i="1"/>
  <c r="M1539" i="1"/>
  <c r="L1539" i="1"/>
  <c r="F1539" i="1"/>
  <c r="M1538" i="1"/>
  <c r="L1538" i="1"/>
  <c r="F1538" i="1"/>
  <c r="M1537" i="1"/>
  <c r="L1537" i="1"/>
  <c r="F1537" i="1"/>
  <c r="M1536" i="1"/>
  <c r="L1536" i="1"/>
  <c r="F1536" i="1"/>
  <c r="M1535" i="1"/>
  <c r="L1535" i="1"/>
  <c r="F1535" i="1"/>
  <c r="M1534" i="1"/>
  <c r="L1534" i="1"/>
  <c r="F1534" i="1"/>
  <c r="M1533" i="1"/>
  <c r="L1533" i="1"/>
  <c r="F1533" i="1"/>
  <c r="M1532" i="1"/>
  <c r="L1532" i="1"/>
  <c r="F1532" i="1"/>
  <c r="M1531" i="1"/>
  <c r="L1531" i="1"/>
  <c r="F1531" i="1"/>
  <c r="M1530" i="1"/>
  <c r="L1530" i="1"/>
  <c r="F1530" i="1"/>
  <c r="M1529" i="1"/>
  <c r="L1529" i="1"/>
  <c r="F1529" i="1"/>
  <c r="M1528" i="1"/>
  <c r="L1528" i="1"/>
  <c r="F1528" i="1"/>
  <c r="M1527" i="1"/>
  <c r="L1527" i="1"/>
  <c r="F1527" i="1"/>
  <c r="M1526" i="1"/>
  <c r="L1526" i="1"/>
  <c r="F1526" i="1"/>
  <c r="M1525" i="1"/>
  <c r="L1525" i="1"/>
  <c r="F1525" i="1"/>
  <c r="M1524" i="1"/>
  <c r="L1524" i="1"/>
  <c r="F1524" i="1"/>
  <c r="M1523" i="1"/>
  <c r="L1523" i="1"/>
  <c r="F1523" i="1"/>
  <c r="M1522" i="1"/>
  <c r="L1522" i="1"/>
  <c r="F1522" i="1"/>
  <c r="M1521" i="1"/>
  <c r="L1521" i="1"/>
  <c r="F1521" i="1"/>
  <c r="M1520" i="1"/>
  <c r="L1520" i="1"/>
  <c r="F1520" i="1"/>
  <c r="M1519" i="1"/>
  <c r="L1519" i="1"/>
  <c r="F1519" i="1"/>
  <c r="M1518" i="1"/>
  <c r="L1518" i="1"/>
  <c r="F1518" i="1"/>
  <c r="M1517" i="1"/>
  <c r="L1517" i="1"/>
  <c r="F1517" i="1"/>
  <c r="M1516" i="1"/>
  <c r="L1516" i="1"/>
  <c r="F1516" i="1"/>
  <c r="M1515" i="1"/>
  <c r="L1515" i="1"/>
  <c r="F1515" i="1"/>
  <c r="M1514" i="1"/>
  <c r="L1514" i="1"/>
  <c r="F1514" i="1"/>
  <c r="M1513" i="1"/>
  <c r="L1513" i="1"/>
  <c r="F1513" i="1"/>
  <c r="M1512" i="1"/>
  <c r="L1512" i="1"/>
  <c r="F1512" i="1"/>
  <c r="M1511" i="1"/>
  <c r="L1511" i="1"/>
  <c r="F1511" i="1"/>
  <c r="M1510" i="1"/>
  <c r="L1510" i="1"/>
  <c r="F1510" i="1"/>
  <c r="M1509" i="1"/>
  <c r="L1509" i="1"/>
  <c r="F1509" i="1"/>
  <c r="M1508" i="1"/>
  <c r="L1508" i="1"/>
  <c r="F1508" i="1"/>
  <c r="M1507" i="1"/>
  <c r="L1507" i="1"/>
  <c r="F1507" i="1"/>
  <c r="M1506" i="1"/>
  <c r="L1506" i="1"/>
  <c r="F1506" i="1"/>
  <c r="M1505" i="1"/>
  <c r="L1505" i="1"/>
  <c r="F1505" i="1"/>
  <c r="M1504" i="1"/>
  <c r="L1504" i="1"/>
  <c r="F1504" i="1"/>
  <c r="M1503" i="1"/>
  <c r="L1503" i="1"/>
  <c r="F1503" i="1"/>
  <c r="M1502" i="1"/>
  <c r="L1502" i="1"/>
  <c r="F1502" i="1"/>
  <c r="M1501" i="1"/>
  <c r="L1501" i="1"/>
  <c r="F1501" i="1"/>
  <c r="M1500" i="1"/>
  <c r="L1500" i="1"/>
  <c r="F1500" i="1"/>
  <c r="M1499" i="1"/>
  <c r="L1499" i="1"/>
  <c r="F1499" i="1"/>
  <c r="M1498" i="1"/>
  <c r="L1498" i="1"/>
  <c r="F1498" i="1"/>
  <c r="M1497" i="1"/>
  <c r="L1497" i="1"/>
  <c r="F1497" i="1"/>
  <c r="M1496" i="1"/>
  <c r="L1496" i="1"/>
  <c r="F1496" i="1"/>
  <c r="M1495" i="1"/>
  <c r="L1495" i="1"/>
  <c r="F1495" i="1"/>
  <c r="M1494" i="1"/>
  <c r="L1494" i="1"/>
  <c r="F1494" i="1"/>
  <c r="M1493" i="1"/>
  <c r="L1493" i="1"/>
  <c r="F1493" i="1"/>
  <c r="M1492" i="1"/>
  <c r="L1492" i="1"/>
  <c r="F1492" i="1"/>
  <c r="K1491" i="1"/>
  <c r="F1491" i="1"/>
  <c r="M1490" i="1"/>
  <c r="L1490" i="1"/>
  <c r="F1490" i="1"/>
  <c r="M1489" i="1"/>
  <c r="L1489" i="1"/>
  <c r="F1489" i="1"/>
  <c r="M1488" i="1"/>
  <c r="L1488" i="1"/>
  <c r="F1488" i="1"/>
  <c r="M1487" i="1"/>
  <c r="L1487" i="1"/>
  <c r="F1487" i="1"/>
  <c r="M1486" i="1"/>
  <c r="L1486" i="1"/>
  <c r="F1486" i="1"/>
  <c r="M1485" i="1"/>
  <c r="L1485" i="1"/>
  <c r="F1485" i="1"/>
  <c r="M1484" i="1"/>
  <c r="L1484" i="1"/>
  <c r="F1484" i="1"/>
  <c r="M1483" i="1"/>
  <c r="L1483" i="1"/>
  <c r="F1483" i="1"/>
  <c r="M1482" i="1"/>
  <c r="L1482" i="1"/>
  <c r="F1482" i="1"/>
  <c r="M1481" i="1"/>
  <c r="L1481" i="1"/>
  <c r="F1481" i="1"/>
  <c r="M1480" i="1"/>
  <c r="L1480" i="1"/>
  <c r="F1480" i="1"/>
  <c r="M1479" i="1"/>
  <c r="L1479" i="1"/>
  <c r="F1479" i="1"/>
  <c r="M1478" i="1"/>
  <c r="L1478" i="1"/>
  <c r="F1478" i="1"/>
  <c r="M1477" i="1"/>
  <c r="L1477" i="1"/>
  <c r="F1477" i="1"/>
  <c r="M1476" i="1"/>
  <c r="L1476" i="1"/>
  <c r="F1476" i="1"/>
  <c r="M1475" i="1"/>
  <c r="L1475" i="1"/>
  <c r="F1475" i="1"/>
  <c r="M1474" i="1"/>
  <c r="L1474" i="1"/>
  <c r="F1474" i="1"/>
  <c r="M1473" i="1"/>
  <c r="L1473" i="1"/>
  <c r="F1473" i="1"/>
  <c r="M1472" i="1"/>
  <c r="L1472" i="1"/>
  <c r="F1472" i="1"/>
  <c r="M1471" i="1"/>
  <c r="L1471" i="1"/>
  <c r="F1471" i="1"/>
  <c r="M1470" i="1"/>
  <c r="L1470" i="1"/>
  <c r="F1470" i="1"/>
  <c r="M1469" i="1"/>
  <c r="L1469" i="1"/>
  <c r="F1469" i="1"/>
  <c r="M1468" i="1"/>
  <c r="L1468" i="1"/>
  <c r="F1468" i="1"/>
  <c r="M1467" i="1"/>
  <c r="L1467" i="1"/>
  <c r="F1467" i="1"/>
  <c r="M1466" i="1"/>
  <c r="L1466" i="1"/>
  <c r="F1466" i="1"/>
  <c r="M1465" i="1"/>
  <c r="L1465" i="1"/>
  <c r="F1465" i="1"/>
  <c r="M1464" i="1"/>
  <c r="L1464" i="1"/>
  <c r="F1464" i="1"/>
  <c r="M1463" i="1"/>
  <c r="L1463" i="1"/>
  <c r="F1463" i="1"/>
  <c r="M1462" i="1"/>
  <c r="L1462" i="1"/>
  <c r="M1461" i="1"/>
  <c r="L1461" i="1"/>
  <c r="M1460" i="1"/>
  <c r="L1460" i="1"/>
  <c r="M1459" i="1"/>
  <c r="L1459" i="1"/>
  <c r="M1458" i="1"/>
  <c r="L1458" i="1"/>
  <c r="M1457" i="1"/>
  <c r="L1457" i="1"/>
  <c r="M1456" i="1"/>
  <c r="L1456" i="1"/>
  <c r="M1455" i="1"/>
  <c r="L1455" i="1"/>
  <c r="M1454" i="1"/>
  <c r="L1454" i="1"/>
  <c r="M1453" i="1"/>
  <c r="L1453" i="1"/>
  <c r="M1452" i="1"/>
  <c r="L1452" i="1"/>
  <c r="M1451" i="1"/>
  <c r="L1451" i="1"/>
  <c r="M1450" i="1"/>
  <c r="L1450" i="1"/>
  <c r="M1449" i="1"/>
  <c r="L1449" i="1"/>
  <c r="M1448" i="1"/>
  <c r="L1448" i="1"/>
  <c r="M1447" i="1"/>
  <c r="L1447" i="1"/>
  <c r="M1446" i="1"/>
  <c r="L1446" i="1"/>
  <c r="M1445" i="1"/>
  <c r="L1445" i="1"/>
  <c r="M1444" i="1"/>
  <c r="L1444" i="1"/>
  <c r="M1443" i="1"/>
  <c r="L1443" i="1"/>
  <c r="M1442" i="1"/>
  <c r="L1442" i="1"/>
  <c r="M1441" i="1"/>
  <c r="L1441" i="1"/>
  <c r="M1440" i="1"/>
  <c r="L1440" i="1"/>
  <c r="M1439" i="1"/>
  <c r="L1439" i="1"/>
  <c r="M1438" i="1"/>
  <c r="L1438" i="1"/>
  <c r="M1437" i="1"/>
  <c r="L1437" i="1"/>
  <c r="M1436" i="1"/>
  <c r="L1436" i="1"/>
  <c r="M1435" i="1"/>
  <c r="L1435" i="1"/>
  <c r="M1434" i="1"/>
  <c r="L1434" i="1"/>
  <c r="M1433" i="1"/>
  <c r="L1433" i="1"/>
  <c r="M1432" i="1"/>
  <c r="L1432" i="1"/>
  <c r="M1431" i="1"/>
  <c r="L1431" i="1"/>
  <c r="M1430" i="1"/>
  <c r="L1430" i="1"/>
  <c r="M1429" i="1"/>
  <c r="L1429" i="1"/>
  <c r="M1428" i="1"/>
  <c r="L1428" i="1"/>
  <c r="M1427" i="1"/>
  <c r="L1427" i="1"/>
  <c r="M1426" i="1"/>
  <c r="L1426" i="1"/>
  <c r="M1425" i="1"/>
  <c r="L1425" i="1"/>
  <c r="M1424" i="1"/>
  <c r="L1424" i="1"/>
  <c r="M1423" i="1"/>
  <c r="L1423" i="1"/>
  <c r="M1422" i="1"/>
  <c r="L1422" i="1"/>
  <c r="M1421" i="1"/>
  <c r="L1421" i="1"/>
  <c r="M1420" i="1"/>
  <c r="L1420" i="1"/>
  <c r="M1419" i="1"/>
  <c r="L1419" i="1"/>
  <c r="M1418" i="1"/>
  <c r="L1418" i="1"/>
  <c r="M1417" i="1"/>
  <c r="L1417" i="1"/>
  <c r="M1416" i="1"/>
  <c r="L1416" i="1"/>
  <c r="M1415" i="1"/>
  <c r="L1415" i="1"/>
  <c r="M1414" i="1"/>
  <c r="L1414" i="1"/>
  <c r="M1413" i="1"/>
  <c r="L1413" i="1"/>
  <c r="M1412" i="1"/>
  <c r="L1412" i="1"/>
  <c r="M1411" i="1"/>
  <c r="L1411" i="1"/>
  <c r="M1410" i="1"/>
  <c r="L1410" i="1"/>
  <c r="M1409" i="1"/>
  <c r="L1409" i="1"/>
  <c r="M1408" i="1"/>
  <c r="L1408" i="1"/>
  <c r="M1407" i="1"/>
  <c r="L1407" i="1"/>
  <c r="M1406" i="1"/>
  <c r="L1406" i="1"/>
  <c r="M1405" i="1"/>
  <c r="L1405" i="1"/>
  <c r="M1404" i="1"/>
  <c r="L1404" i="1"/>
  <c r="M1403" i="1"/>
  <c r="L1403" i="1"/>
  <c r="M1402" i="1"/>
  <c r="L1402" i="1"/>
  <c r="M1401" i="1"/>
  <c r="L1401" i="1"/>
  <c r="M1400" i="1"/>
  <c r="L1400" i="1"/>
  <c r="M1399" i="1"/>
  <c r="L1399" i="1"/>
  <c r="M1398" i="1"/>
  <c r="L1398" i="1"/>
  <c r="M1397" i="1"/>
  <c r="L1397" i="1"/>
  <c r="M1396" i="1"/>
  <c r="L1396" i="1"/>
  <c r="M1395" i="1"/>
  <c r="L1395" i="1"/>
  <c r="M1394" i="1"/>
  <c r="L1394" i="1"/>
  <c r="M1393" i="1"/>
  <c r="L1393" i="1"/>
  <c r="M1392" i="1"/>
  <c r="L1392" i="1"/>
  <c r="M1391" i="1"/>
  <c r="L1391" i="1"/>
  <c r="M1390" i="1"/>
  <c r="L1390" i="1"/>
  <c r="M1389" i="1"/>
  <c r="L1389" i="1"/>
  <c r="M1388" i="1"/>
  <c r="L1388" i="1"/>
  <c r="M1387" i="1"/>
  <c r="L1387" i="1"/>
  <c r="M1386" i="1"/>
  <c r="L1386" i="1"/>
  <c r="M1385" i="1"/>
  <c r="L1385" i="1"/>
  <c r="M1384" i="1"/>
  <c r="L1384" i="1"/>
  <c r="M1383" i="1"/>
  <c r="L1383" i="1"/>
  <c r="M1382" i="1"/>
  <c r="L1382" i="1"/>
  <c r="M1381" i="1"/>
  <c r="L1381" i="1"/>
  <c r="M1380" i="1"/>
  <c r="L1380" i="1"/>
  <c r="M1379" i="1"/>
  <c r="L1379" i="1"/>
  <c r="M1378" i="1"/>
  <c r="L1378" i="1"/>
  <c r="M1377" i="1"/>
  <c r="L1377" i="1"/>
  <c r="M1376" i="1"/>
  <c r="L1376" i="1"/>
  <c r="M1375" i="1"/>
  <c r="L1375" i="1"/>
  <c r="M1374" i="1"/>
  <c r="L1374" i="1"/>
  <c r="M1373" i="1"/>
  <c r="L1373" i="1"/>
  <c r="M1372" i="1"/>
  <c r="L1372" i="1"/>
  <c r="M1371" i="1"/>
  <c r="L1371" i="1"/>
  <c r="M1370" i="1"/>
  <c r="L1370" i="1"/>
  <c r="M1369" i="1"/>
  <c r="L1369" i="1"/>
  <c r="M1368" i="1"/>
  <c r="L1368" i="1"/>
  <c r="M1367" i="1"/>
  <c r="L1367" i="1"/>
  <c r="M1366" i="1"/>
  <c r="L1366" i="1"/>
  <c r="M1365" i="1"/>
  <c r="L1365" i="1"/>
  <c r="M1364" i="1"/>
  <c r="L1364" i="1"/>
  <c r="M1363" i="1"/>
  <c r="L1363" i="1"/>
  <c r="M1362" i="1"/>
  <c r="L1362" i="1"/>
  <c r="M1361" i="1"/>
  <c r="L1361" i="1"/>
  <c r="M1360" i="1"/>
  <c r="L1360" i="1"/>
  <c r="M1359" i="1"/>
  <c r="L1359" i="1"/>
  <c r="M1358" i="1"/>
  <c r="L1358" i="1"/>
  <c r="M1357" i="1"/>
  <c r="L1357" i="1"/>
  <c r="M1356" i="1"/>
  <c r="L1356" i="1"/>
  <c r="M1355" i="1"/>
  <c r="L1355" i="1"/>
  <c r="M1354" i="1"/>
  <c r="L1354" i="1"/>
  <c r="M1353" i="1"/>
  <c r="L1353" i="1"/>
  <c r="M1352" i="1"/>
  <c r="L1352" i="1"/>
  <c r="M1351" i="1"/>
  <c r="L1351" i="1"/>
  <c r="M1350" i="1"/>
  <c r="L1350" i="1"/>
  <c r="M1349" i="1"/>
  <c r="L1349" i="1"/>
  <c r="M1348" i="1"/>
  <c r="L1348" i="1"/>
  <c r="M1347" i="1"/>
  <c r="L1347" i="1"/>
  <c r="M1346" i="1"/>
  <c r="L1346" i="1"/>
  <c r="M1345" i="1"/>
  <c r="L1345" i="1"/>
  <c r="M1344" i="1"/>
  <c r="L1344" i="1"/>
  <c r="M1343" i="1"/>
  <c r="L1343" i="1"/>
  <c r="M1342" i="1"/>
  <c r="L1342" i="1"/>
  <c r="M1341" i="1"/>
  <c r="L1341" i="1"/>
  <c r="M1340" i="1"/>
  <c r="L1340" i="1"/>
  <c r="M1339" i="1"/>
  <c r="L1339" i="1"/>
  <c r="M1338" i="1"/>
  <c r="L1338" i="1"/>
  <c r="M1337" i="1"/>
  <c r="L1337" i="1"/>
  <c r="M1336" i="1"/>
  <c r="L1336" i="1"/>
  <c r="M1335" i="1"/>
  <c r="L1335" i="1"/>
  <c r="M1334" i="1"/>
  <c r="L1334" i="1"/>
  <c r="M1333" i="1"/>
  <c r="L1333" i="1"/>
  <c r="M1332" i="1"/>
  <c r="L1332" i="1"/>
  <c r="M1331" i="1"/>
  <c r="L1331" i="1"/>
  <c r="M1330" i="1"/>
  <c r="L1330" i="1"/>
  <c r="M1329" i="1"/>
  <c r="L1329" i="1"/>
  <c r="M1328" i="1"/>
  <c r="L1328" i="1"/>
  <c r="M1327" i="1"/>
  <c r="L1327" i="1"/>
  <c r="M1326" i="1"/>
  <c r="L1326" i="1"/>
  <c r="M1325" i="1"/>
  <c r="L1325" i="1"/>
  <c r="M1324" i="1"/>
  <c r="L1324" i="1"/>
  <c r="M1323" i="1"/>
  <c r="L1323" i="1"/>
  <c r="M1322" i="1"/>
  <c r="L1322" i="1"/>
  <c r="M1321" i="1"/>
  <c r="L1321" i="1"/>
  <c r="M1320" i="1"/>
  <c r="L1320" i="1"/>
  <c r="M1319" i="1"/>
  <c r="L1319" i="1"/>
  <c r="M1318" i="1"/>
  <c r="L1318" i="1"/>
  <c r="M1317" i="1"/>
  <c r="L1317" i="1"/>
  <c r="M1316" i="1"/>
  <c r="L1316" i="1"/>
  <c r="M1315" i="1"/>
  <c r="L1315" i="1"/>
  <c r="M1314" i="1"/>
  <c r="L1314" i="1"/>
  <c r="M1313" i="1"/>
  <c r="L1313" i="1"/>
  <c r="M1312" i="1"/>
  <c r="L1312" i="1"/>
  <c r="M1311" i="1"/>
  <c r="L1311" i="1"/>
  <c r="M1310" i="1"/>
  <c r="L1310" i="1"/>
  <c r="M1309" i="1"/>
  <c r="L1309" i="1"/>
  <c r="M1308" i="1"/>
  <c r="L1308" i="1"/>
  <c r="M1307" i="1"/>
  <c r="L1307" i="1"/>
  <c r="M1306" i="1"/>
  <c r="L1306" i="1"/>
  <c r="M1305" i="1"/>
  <c r="L1305" i="1"/>
  <c r="M1304" i="1"/>
  <c r="L1304" i="1"/>
  <c r="M1303" i="1"/>
  <c r="L1303" i="1"/>
  <c r="M1302" i="1"/>
  <c r="L1302" i="1"/>
  <c r="M1301" i="1"/>
  <c r="L1301" i="1"/>
  <c r="M1300" i="1"/>
  <c r="L1300" i="1"/>
  <c r="M1299" i="1"/>
  <c r="L1299" i="1"/>
  <c r="M1298" i="1"/>
  <c r="L1298" i="1"/>
  <c r="M1297" i="1"/>
  <c r="L1297" i="1"/>
  <c r="M1296" i="1"/>
  <c r="L1296" i="1"/>
  <c r="E1296" i="1"/>
  <c r="M1295" i="1"/>
  <c r="L1295" i="1"/>
  <c r="M1294" i="1"/>
  <c r="L1294" i="1"/>
  <c r="M1293" i="1"/>
  <c r="L1293" i="1"/>
  <c r="M1292" i="1"/>
  <c r="L1292" i="1"/>
  <c r="M1291" i="1"/>
  <c r="L1291" i="1"/>
  <c r="M1290" i="1"/>
  <c r="L1290" i="1"/>
  <c r="M1289" i="1"/>
  <c r="L1289" i="1"/>
  <c r="M1288" i="1"/>
  <c r="L1288" i="1"/>
  <c r="M1287" i="1"/>
  <c r="L1287" i="1"/>
  <c r="M1286" i="1"/>
  <c r="L1286" i="1"/>
  <c r="M1285" i="1"/>
  <c r="L1285" i="1"/>
  <c r="M1284" i="1"/>
  <c r="L1284" i="1"/>
  <c r="M1283" i="1"/>
  <c r="L1283" i="1"/>
  <c r="M1282" i="1"/>
  <c r="L1282" i="1"/>
  <c r="M1281" i="1"/>
  <c r="L1281" i="1"/>
  <c r="M1280" i="1"/>
  <c r="L1280" i="1"/>
  <c r="M1279" i="1"/>
  <c r="L1279" i="1"/>
  <c r="M1278" i="1"/>
  <c r="L1278" i="1"/>
  <c r="M1277" i="1"/>
  <c r="L1277" i="1"/>
  <c r="M1276" i="1"/>
  <c r="L1276" i="1"/>
  <c r="M1275" i="1"/>
  <c r="L1275" i="1"/>
  <c r="M1274" i="1"/>
  <c r="L1274" i="1"/>
  <c r="M1273" i="1"/>
  <c r="L1273" i="1"/>
  <c r="M1272" i="1"/>
  <c r="L1272" i="1"/>
  <c r="M1271" i="1"/>
  <c r="L1271" i="1"/>
  <c r="M1270" i="1"/>
  <c r="L1270" i="1"/>
  <c r="M1269" i="1"/>
  <c r="L1269" i="1"/>
  <c r="M1268" i="1"/>
  <c r="L1268" i="1"/>
  <c r="M1267" i="1"/>
  <c r="L1267" i="1"/>
  <c r="M1266" i="1"/>
  <c r="L1266" i="1"/>
  <c r="M1265" i="1"/>
  <c r="L1265" i="1"/>
  <c r="M1264" i="1"/>
  <c r="L1264" i="1"/>
  <c r="M1263" i="1"/>
  <c r="L1263" i="1"/>
  <c r="M1262" i="1"/>
  <c r="L1262" i="1"/>
  <c r="M1261" i="1"/>
  <c r="L1261" i="1"/>
  <c r="M1260" i="1"/>
  <c r="L1260" i="1"/>
  <c r="M1259" i="1"/>
  <c r="L1259" i="1"/>
  <c r="M1258" i="1"/>
  <c r="L1258" i="1"/>
  <c r="M1257" i="1"/>
  <c r="L1257" i="1"/>
  <c r="E1257" i="1"/>
  <c r="M1256" i="1"/>
  <c r="L1256" i="1"/>
  <c r="M1255" i="1"/>
  <c r="L1255" i="1"/>
  <c r="M1254" i="1"/>
  <c r="L1254" i="1"/>
  <c r="M1253" i="1"/>
  <c r="L1253" i="1"/>
  <c r="M1252" i="1"/>
  <c r="L1252" i="1"/>
  <c r="M1251" i="1"/>
  <c r="L1251" i="1"/>
  <c r="M1250" i="1"/>
  <c r="L1250" i="1"/>
  <c r="M1249" i="1"/>
  <c r="L1249" i="1"/>
  <c r="M1248" i="1"/>
  <c r="L1248" i="1"/>
  <c r="M1247" i="1"/>
  <c r="L1247" i="1"/>
  <c r="M1246" i="1"/>
  <c r="L1246" i="1"/>
  <c r="M1245" i="1"/>
  <c r="L1245" i="1"/>
  <c r="M1244" i="1"/>
  <c r="L1244" i="1"/>
  <c r="M1243" i="1"/>
  <c r="L1243" i="1"/>
  <c r="M1242" i="1"/>
  <c r="L1242" i="1"/>
  <c r="M1241" i="1"/>
  <c r="L1241" i="1"/>
  <c r="M1240" i="1"/>
  <c r="L1240" i="1"/>
  <c r="M1239" i="1"/>
  <c r="L1239" i="1"/>
  <c r="M1238" i="1"/>
  <c r="L1238" i="1"/>
  <c r="M1237" i="1"/>
  <c r="L1237" i="1"/>
  <c r="M1236" i="1"/>
  <c r="L1236" i="1"/>
  <c r="M1235" i="1"/>
  <c r="L1235" i="1"/>
  <c r="M1234" i="1"/>
  <c r="L1234" i="1"/>
  <c r="M1233" i="1"/>
  <c r="L1233" i="1"/>
  <c r="M1232" i="1"/>
  <c r="L1232" i="1"/>
  <c r="M1231" i="1"/>
  <c r="L1231" i="1"/>
  <c r="M1230" i="1"/>
  <c r="L1230" i="1"/>
  <c r="M1229" i="1"/>
  <c r="L1229" i="1"/>
  <c r="M1228" i="1"/>
  <c r="L1228" i="1"/>
  <c r="M1227" i="1"/>
  <c r="L1227" i="1"/>
  <c r="M1226" i="1"/>
  <c r="L1226" i="1"/>
  <c r="M1225" i="1"/>
  <c r="L1225" i="1"/>
  <c r="M1224" i="1"/>
  <c r="L1224" i="1"/>
  <c r="M1223" i="1"/>
  <c r="L1223" i="1"/>
  <c r="M1222" i="1"/>
  <c r="L1222" i="1"/>
  <c r="M1221" i="1"/>
  <c r="L1221" i="1"/>
  <c r="M1220" i="1"/>
  <c r="L1220" i="1"/>
  <c r="M1219" i="1"/>
  <c r="L1219" i="1"/>
  <c r="M1218" i="1"/>
  <c r="L1218" i="1"/>
  <c r="E1218" i="1"/>
  <c r="M1217" i="1"/>
  <c r="L1217" i="1"/>
  <c r="M1216" i="1"/>
  <c r="L1216" i="1"/>
  <c r="E1216" i="1"/>
  <c r="E1217" i="1" s="1"/>
  <c r="M1215" i="1"/>
  <c r="L1215" i="1"/>
  <c r="M1214" i="1"/>
  <c r="L1214" i="1"/>
  <c r="M1213" i="1"/>
  <c r="L1213" i="1"/>
  <c r="M1212" i="1"/>
  <c r="L1212" i="1"/>
  <c r="M1211" i="1"/>
  <c r="L1211" i="1"/>
  <c r="M1210" i="1"/>
  <c r="L1210" i="1"/>
  <c r="M1209" i="1"/>
  <c r="L1209" i="1"/>
  <c r="M1208" i="1"/>
  <c r="L1208" i="1"/>
  <c r="M1207" i="1"/>
  <c r="L1207" i="1"/>
  <c r="M1206" i="1"/>
  <c r="L1206" i="1"/>
  <c r="M1205" i="1"/>
  <c r="L1205" i="1"/>
  <c r="M1204" i="1"/>
  <c r="L1204" i="1"/>
  <c r="M1203" i="1"/>
  <c r="L1203" i="1"/>
  <c r="M1202" i="1"/>
  <c r="L1202" i="1"/>
  <c r="M1201" i="1"/>
  <c r="L1201" i="1"/>
  <c r="M1200" i="1"/>
  <c r="L1200" i="1"/>
  <c r="M1199" i="1"/>
  <c r="L1199" i="1"/>
  <c r="M1198" i="1"/>
  <c r="L1198" i="1"/>
  <c r="M1197" i="1"/>
  <c r="L1197" i="1"/>
  <c r="M1196" i="1"/>
  <c r="L1196" i="1"/>
  <c r="M1195" i="1"/>
  <c r="L1195" i="1"/>
  <c r="M1194" i="1"/>
  <c r="L1194" i="1"/>
  <c r="M1193" i="1"/>
  <c r="L1193" i="1"/>
  <c r="M1192" i="1"/>
  <c r="L1192" i="1"/>
  <c r="M1191" i="1"/>
  <c r="L1191" i="1"/>
  <c r="M1190" i="1"/>
  <c r="L1190" i="1"/>
  <c r="M1189" i="1"/>
  <c r="L1189" i="1"/>
  <c r="M1188" i="1"/>
  <c r="L1188" i="1"/>
  <c r="M1187" i="1"/>
  <c r="L1187" i="1"/>
  <c r="M1186" i="1"/>
  <c r="L1186" i="1"/>
  <c r="M1185" i="1"/>
  <c r="L1185" i="1"/>
  <c r="M1184" i="1"/>
  <c r="L1184" i="1"/>
  <c r="M1183" i="1"/>
  <c r="L1183" i="1"/>
  <c r="M1182" i="1"/>
  <c r="L1182" i="1"/>
  <c r="M1181" i="1"/>
  <c r="L1181" i="1"/>
  <c r="M1180" i="1"/>
  <c r="L1180" i="1"/>
  <c r="M1179" i="1"/>
  <c r="L1179" i="1"/>
  <c r="M1178" i="1"/>
  <c r="L1178" i="1"/>
  <c r="M1177" i="1"/>
  <c r="L1177" i="1"/>
  <c r="M1176" i="1"/>
  <c r="L1176" i="1"/>
  <c r="M1175" i="1"/>
  <c r="L1175" i="1"/>
  <c r="M1174" i="1"/>
  <c r="L1174" i="1"/>
  <c r="M1173" i="1"/>
  <c r="L1173" i="1"/>
  <c r="E1173" i="1"/>
  <c r="M1172" i="1"/>
  <c r="L1172" i="1"/>
  <c r="E1172" i="1"/>
  <c r="M1171" i="1"/>
  <c r="L1171" i="1"/>
  <c r="M1170" i="1"/>
  <c r="L1170" i="1"/>
  <c r="M1169" i="1"/>
  <c r="L1169" i="1"/>
  <c r="M1168" i="1"/>
  <c r="L1168" i="1"/>
  <c r="M1167" i="1"/>
  <c r="L1167" i="1"/>
  <c r="M1166" i="1"/>
  <c r="L1166" i="1"/>
  <c r="M1165" i="1"/>
  <c r="L1165" i="1"/>
  <c r="M1164" i="1"/>
  <c r="L1164" i="1"/>
  <c r="M1163" i="1"/>
  <c r="L1163" i="1"/>
  <c r="M1162" i="1"/>
  <c r="L1162" i="1"/>
  <c r="M1161" i="1"/>
  <c r="L1161" i="1"/>
  <c r="M1160" i="1"/>
  <c r="L1160" i="1"/>
  <c r="M1159" i="1"/>
  <c r="L1159" i="1"/>
  <c r="M1158" i="1"/>
  <c r="L1158" i="1"/>
  <c r="M1157" i="1"/>
  <c r="L1157" i="1"/>
  <c r="M1156" i="1"/>
  <c r="L1156" i="1"/>
  <c r="M1155" i="1"/>
  <c r="L1155" i="1"/>
  <c r="M1154" i="1"/>
  <c r="L1154" i="1"/>
  <c r="M1153" i="1"/>
  <c r="L1153" i="1"/>
  <c r="M1152" i="1"/>
  <c r="L1152" i="1"/>
  <c r="M1151" i="1"/>
  <c r="L1151" i="1"/>
  <c r="M1150" i="1"/>
  <c r="L1150" i="1"/>
  <c r="M1149" i="1"/>
  <c r="L1149" i="1"/>
  <c r="M1148" i="1"/>
  <c r="L1148" i="1"/>
  <c r="M1147" i="1"/>
  <c r="L1147" i="1"/>
  <c r="M1146" i="1"/>
  <c r="L1146" i="1"/>
  <c r="M1145" i="1"/>
  <c r="L1145" i="1"/>
  <c r="F1145" i="1"/>
  <c r="E1145" i="1"/>
  <c r="M1144" i="1"/>
  <c r="L1144" i="1"/>
  <c r="F1144" i="1"/>
  <c r="M1143" i="1"/>
  <c r="L1143" i="1"/>
  <c r="F1143" i="1"/>
  <c r="M1142" i="1"/>
  <c r="L1142" i="1"/>
  <c r="F1142" i="1"/>
  <c r="M1141" i="1"/>
  <c r="L1141" i="1"/>
  <c r="F1141" i="1"/>
  <c r="M1140" i="1"/>
  <c r="L1140" i="1"/>
  <c r="F1140" i="1"/>
  <c r="M1139" i="1"/>
  <c r="L1139" i="1"/>
  <c r="F1139" i="1"/>
  <c r="M1138" i="1"/>
  <c r="L1138" i="1"/>
  <c r="F1138" i="1"/>
  <c r="M1137" i="1"/>
  <c r="L1137" i="1"/>
  <c r="F1137" i="1"/>
  <c r="M1136" i="1"/>
  <c r="L1136" i="1"/>
  <c r="F1136" i="1"/>
  <c r="M1135" i="1"/>
  <c r="L1135" i="1"/>
  <c r="F1135" i="1"/>
  <c r="M1134" i="1"/>
  <c r="L1134" i="1"/>
  <c r="F1134" i="1"/>
  <c r="M1133" i="1"/>
  <c r="L1133" i="1"/>
  <c r="F1133" i="1"/>
  <c r="M1132" i="1"/>
  <c r="L1132" i="1"/>
  <c r="F1132" i="1"/>
  <c r="M1131" i="1"/>
  <c r="L1131" i="1"/>
  <c r="F1131" i="1"/>
  <c r="M1130" i="1"/>
  <c r="L1130" i="1"/>
  <c r="F1130" i="1"/>
  <c r="M1129" i="1"/>
  <c r="L1129" i="1"/>
  <c r="F1129" i="1"/>
  <c r="S1128" i="1"/>
  <c r="M1128" i="1"/>
  <c r="L1128" i="1"/>
  <c r="F1128" i="1"/>
  <c r="M1127" i="1"/>
  <c r="L1127" i="1"/>
  <c r="F1127" i="1"/>
  <c r="M1126" i="1"/>
  <c r="L1126" i="1"/>
  <c r="F1126" i="1"/>
  <c r="M1125" i="1"/>
  <c r="L1125" i="1"/>
  <c r="F1125" i="1"/>
  <c r="M1124" i="1"/>
  <c r="L1124" i="1"/>
  <c r="F1124" i="1"/>
  <c r="M1123" i="1"/>
  <c r="L1123" i="1"/>
  <c r="F1123" i="1"/>
  <c r="M1122" i="1"/>
  <c r="L1122" i="1"/>
  <c r="F1122" i="1"/>
  <c r="M1121" i="1"/>
  <c r="L1121" i="1"/>
  <c r="F1121" i="1"/>
  <c r="M1120" i="1"/>
  <c r="L1120" i="1"/>
  <c r="F1120" i="1"/>
  <c r="M1119" i="1"/>
  <c r="L1119" i="1"/>
  <c r="F1119" i="1"/>
  <c r="M1118" i="1"/>
  <c r="L1118" i="1"/>
  <c r="F1118" i="1"/>
  <c r="M1117" i="1"/>
  <c r="L1117" i="1"/>
  <c r="F1117" i="1"/>
  <c r="M1116" i="1"/>
  <c r="L1116" i="1"/>
  <c r="F1116" i="1"/>
  <c r="M1115" i="1"/>
  <c r="L1115" i="1"/>
  <c r="F1115" i="1"/>
  <c r="M1114" i="1"/>
  <c r="L1114" i="1"/>
  <c r="F1114" i="1"/>
  <c r="M1113" i="1"/>
  <c r="L1113" i="1"/>
  <c r="F1113" i="1"/>
  <c r="M1112" i="1"/>
  <c r="L1112" i="1"/>
  <c r="F1112" i="1"/>
  <c r="M1111" i="1"/>
  <c r="L1111" i="1"/>
  <c r="F1111" i="1"/>
  <c r="M1110" i="1"/>
  <c r="L1110" i="1"/>
  <c r="F1110" i="1"/>
  <c r="M1109" i="1"/>
  <c r="L1109" i="1"/>
  <c r="F1109" i="1"/>
  <c r="M1108" i="1"/>
  <c r="L1108" i="1"/>
  <c r="F1108" i="1"/>
  <c r="M1107" i="1"/>
  <c r="L1107" i="1"/>
  <c r="F1107" i="1"/>
  <c r="M1106" i="1"/>
  <c r="L1106" i="1"/>
  <c r="F1106" i="1"/>
  <c r="M1105" i="1"/>
  <c r="L1105" i="1"/>
  <c r="F1105" i="1"/>
  <c r="M1104" i="1"/>
  <c r="L1104" i="1"/>
  <c r="F1104" i="1"/>
  <c r="M1103" i="1"/>
  <c r="L1103" i="1"/>
  <c r="F1103" i="1"/>
  <c r="M1102" i="1"/>
  <c r="L1102" i="1"/>
  <c r="F1102" i="1"/>
  <c r="M1101" i="1"/>
  <c r="L1101" i="1"/>
  <c r="F1101" i="1"/>
  <c r="M1100" i="1"/>
  <c r="L1100" i="1"/>
  <c r="F1100" i="1"/>
  <c r="M1099" i="1"/>
  <c r="L1099" i="1"/>
  <c r="F1099" i="1"/>
  <c r="M1098" i="1"/>
  <c r="L1098" i="1"/>
  <c r="F1098" i="1"/>
  <c r="M1097" i="1"/>
  <c r="L1097" i="1"/>
  <c r="M1096" i="1"/>
  <c r="L1096" i="1"/>
  <c r="M1095" i="1"/>
  <c r="L1095" i="1"/>
  <c r="M1094" i="1"/>
  <c r="L1094" i="1"/>
  <c r="M1093" i="1"/>
  <c r="L1093" i="1"/>
  <c r="M1092" i="1"/>
  <c r="L1092" i="1"/>
  <c r="M1091" i="1"/>
  <c r="L1091" i="1"/>
  <c r="M1090" i="1"/>
  <c r="L1090" i="1"/>
  <c r="M1089" i="1"/>
  <c r="L1089" i="1"/>
  <c r="Z1088" i="1"/>
  <c r="Z1089" i="1" s="1"/>
  <c r="M1088" i="1"/>
  <c r="L1088" i="1"/>
  <c r="Z1087" i="1"/>
  <c r="M1087" i="1"/>
  <c r="L1087" i="1"/>
  <c r="M1086" i="1"/>
  <c r="L1086" i="1"/>
  <c r="M1085" i="1"/>
  <c r="L1085" i="1"/>
  <c r="M1084" i="1"/>
  <c r="L1084" i="1"/>
  <c r="Y1083" i="1"/>
  <c r="Z1090" i="1" s="1"/>
  <c r="M1083" i="1"/>
  <c r="L1083" i="1"/>
  <c r="M1082" i="1"/>
  <c r="L1082" i="1"/>
  <c r="M1081" i="1"/>
  <c r="L1081" i="1"/>
  <c r="M1080" i="1"/>
  <c r="L1080" i="1"/>
  <c r="M1079" i="1"/>
  <c r="L1079" i="1"/>
  <c r="M1078" i="1"/>
  <c r="L1078" i="1"/>
  <c r="M1077" i="1"/>
  <c r="L1077" i="1"/>
  <c r="M1076" i="1"/>
  <c r="L1076" i="1"/>
  <c r="M1075" i="1"/>
  <c r="L1075" i="1"/>
  <c r="M1074" i="1"/>
  <c r="L1074" i="1"/>
  <c r="M1073" i="1"/>
  <c r="L1073" i="1"/>
  <c r="M1072" i="1"/>
  <c r="L1072" i="1"/>
  <c r="M1071" i="1"/>
  <c r="L1071" i="1"/>
  <c r="M1070" i="1"/>
  <c r="L1070" i="1"/>
  <c r="M1069" i="1"/>
  <c r="L1069" i="1"/>
  <c r="M1068" i="1"/>
  <c r="L1068" i="1"/>
  <c r="M1067" i="1"/>
  <c r="L1067" i="1"/>
  <c r="M1066" i="1"/>
  <c r="L1066" i="1"/>
  <c r="M1065" i="1"/>
  <c r="L1065" i="1"/>
  <c r="M1064" i="1"/>
  <c r="L1064" i="1"/>
  <c r="M1063" i="1"/>
  <c r="L1063" i="1"/>
  <c r="M1062" i="1"/>
  <c r="L1062" i="1"/>
  <c r="M1061" i="1"/>
  <c r="L1061" i="1"/>
  <c r="M1060" i="1"/>
  <c r="L1060" i="1"/>
  <c r="M1059" i="1"/>
  <c r="L1059" i="1"/>
  <c r="M1058" i="1"/>
  <c r="L1058" i="1"/>
  <c r="M1057" i="1"/>
  <c r="L1057" i="1"/>
  <c r="M1056" i="1"/>
  <c r="L1056" i="1"/>
  <c r="M1055" i="1"/>
  <c r="L1055" i="1"/>
  <c r="M1054" i="1"/>
  <c r="L1054" i="1"/>
  <c r="M1053" i="1"/>
  <c r="L1053" i="1"/>
  <c r="M1052" i="1"/>
  <c r="L1052" i="1"/>
  <c r="M1051" i="1"/>
  <c r="L1051" i="1"/>
  <c r="M1050" i="1"/>
  <c r="L1050" i="1"/>
  <c r="M1049" i="1"/>
  <c r="L1049" i="1"/>
  <c r="M1048" i="1"/>
  <c r="L1048" i="1"/>
  <c r="M1047" i="1"/>
  <c r="L1047" i="1"/>
  <c r="M1046" i="1"/>
  <c r="L1046" i="1"/>
  <c r="M1045" i="1"/>
  <c r="L1045" i="1"/>
  <c r="M1044" i="1"/>
  <c r="L1044" i="1"/>
  <c r="M1043" i="1"/>
  <c r="L1043" i="1"/>
  <c r="M1042" i="1"/>
  <c r="L1042" i="1"/>
  <c r="M1041" i="1"/>
  <c r="L1041" i="1"/>
  <c r="M1040" i="1"/>
  <c r="L1040" i="1"/>
  <c r="M1039" i="1"/>
  <c r="L1039" i="1"/>
  <c r="M1038" i="1"/>
  <c r="L1038" i="1"/>
  <c r="M1037" i="1"/>
  <c r="L1037" i="1"/>
  <c r="M1036" i="1"/>
  <c r="L1036" i="1"/>
  <c r="M1035" i="1"/>
  <c r="L1035" i="1"/>
  <c r="M1034" i="1"/>
  <c r="L1034" i="1"/>
  <c r="M1033" i="1"/>
  <c r="L1033" i="1"/>
  <c r="M1032" i="1"/>
  <c r="L1032" i="1"/>
  <c r="M1031" i="1"/>
  <c r="L1031" i="1"/>
  <c r="M1030" i="1"/>
  <c r="L1030" i="1"/>
  <c r="M1029" i="1"/>
  <c r="L1029" i="1"/>
  <c r="M1028" i="1"/>
  <c r="L1028" i="1"/>
  <c r="M1027" i="1"/>
  <c r="L1027" i="1"/>
  <c r="M1026" i="1"/>
  <c r="L1026" i="1"/>
  <c r="M1025" i="1"/>
  <c r="L1025" i="1"/>
  <c r="M1024" i="1"/>
  <c r="L1024" i="1"/>
  <c r="M1023" i="1"/>
  <c r="L1023" i="1"/>
  <c r="M1022" i="1"/>
  <c r="L1022" i="1"/>
  <c r="M1021" i="1"/>
  <c r="L1021" i="1"/>
  <c r="M1020" i="1"/>
  <c r="L1020" i="1"/>
  <c r="M1019" i="1"/>
  <c r="L1019" i="1"/>
  <c r="M1018" i="1"/>
  <c r="L1018" i="1"/>
  <c r="M1017" i="1"/>
  <c r="L1017" i="1"/>
  <c r="M1016" i="1"/>
  <c r="L1016" i="1"/>
  <c r="M1015" i="1"/>
  <c r="L1015" i="1"/>
  <c r="M1014" i="1"/>
  <c r="L1014" i="1"/>
  <c r="M1013" i="1"/>
  <c r="L1013" i="1"/>
  <c r="M1012" i="1"/>
  <c r="L1012" i="1"/>
  <c r="M1011" i="1"/>
  <c r="L1011" i="1"/>
  <c r="M1010" i="1"/>
  <c r="L1010" i="1"/>
  <c r="M1009" i="1"/>
  <c r="L1009" i="1"/>
  <c r="M1008" i="1"/>
  <c r="L1008" i="1"/>
  <c r="M1007" i="1"/>
  <c r="L1007" i="1"/>
  <c r="M1006" i="1"/>
  <c r="L1006" i="1"/>
  <c r="M1005" i="1"/>
  <c r="L1005" i="1"/>
  <c r="M1004" i="1"/>
  <c r="L1004" i="1"/>
  <c r="M1003" i="1"/>
  <c r="L1003" i="1"/>
  <c r="M1002" i="1"/>
  <c r="L1002" i="1"/>
  <c r="M1001" i="1"/>
  <c r="L1001" i="1"/>
  <c r="M1000" i="1"/>
  <c r="L1000" i="1"/>
  <c r="M999" i="1"/>
  <c r="L999" i="1"/>
  <c r="M998" i="1"/>
  <c r="L998" i="1"/>
  <c r="M997" i="1"/>
  <c r="L997" i="1"/>
  <c r="M996" i="1"/>
  <c r="L996" i="1"/>
  <c r="M995" i="1"/>
  <c r="L995" i="1"/>
  <c r="M994" i="1"/>
  <c r="L994" i="1"/>
  <c r="M993" i="1"/>
  <c r="L993" i="1"/>
  <c r="M992" i="1"/>
  <c r="L992" i="1"/>
  <c r="M991" i="1"/>
  <c r="L991" i="1"/>
  <c r="M990" i="1"/>
  <c r="L990" i="1"/>
  <c r="M989" i="1"/>
  <c r="L989" i="1"/>
  <c r="M988" i="1"/>
  <c r="L988" i="1"/>
  <c r="M987" i="1"/>
  <c r="L987" i="1"/>
  <c r="M986" i="1"/>
  <c r="L986" i="1"/>
  <c r="M985" i="1"/>
  <c r="L985" i="1"/>
  <c r="M984" i="1"/>
  <c r="L984" i="1"/>
  <c r="M983" i="1"/>
  <c r="L983" i="1"/>
  <c r="M982" i="1"/>
  <c r="L982" i="1"/>
  <c r="M981" i="1"/>
  <c r="L981" i="1"/>
  <c r="M980" i="1"/>
  <c r="L980" i="1"/>
  <c r="M979" i="1"/>
  <c r="L979" i="1"/>
  <c r="M978" i="1"/>
  <c r="L978" i="1"/>
  <c r="M977" i="1"/>
  <c r="L977" i="1"/>
  <c r="M976" i="1"/>
  <c r="L976" i="1"/>
  <c r="M975" i="1"/>
  <c r="L975" i="1"/>
  <c r="M974" i="1"/>
  <c r="L974" i="1"/>
  <c r="M973" i="1"/>
  <c r="L973" i="1"/>
  <c r="M972" i="1"/>
  <c r="L972" i="1"/>
  <c r="M971" i="1"/>
  <c r="L971" i="1"/>
  <c r="M970" i="1"/>
  <c r="L970" i="1"/>
  <c r="M969" i="1"/>
  <c r="L969" i="1"/>
  <c r="E969" i="1"/>
  <c r="M968" i="1"/>
  <c r="L968" i="1"/>
  <c r="M967" i="1"/>
  <c r="L967" i="1"/>
  <c r="E967" i="1"/>
  <c r="E968" i="1" s="1"/>
  <c r="M966" i="1"/>
  <c r="L966" i="1"/>
  <c r="M965" i="1"/>
  <c r="L965" i="1"/>
  <c r="M964" i="1"/>
  <c r="L964" i="1"/>
  <c r="M963" i="1"/>
  <c r="L963" i="1"/>
  <c r="M962" i="1"/>
  <c r="L962" i="1"/>
  <c r="M961" i="1"/>
  <c r="L961" i="1"/>
  <c r="M960" i="1"/>
  <c r="L960" i="1"/>
  <c r="M959" i="1"/>
  <c r="L959" i="1"/>
  <c r="E959" i="1"/>
  <c r="M958" i="1"/>
  <c r="L958" i="1"/>
  <c r="E958" i="1"/>
  <c r="M957" i="1"/>
  <c r="L957" i="1"/>
  <c r="M956" i="1"/>
  <c r="L956" i="1"/>
  <c r="M955" i="1"/>
  <c r="L955" i="1"/>
  <c r="M954" i="1"/>
  <c r="L954" i="1"/>
  <c r="M953" i="1"/>
  <c r="L953" i="1"/>
  <c r="M952" i="1"/>
  <c r="L952" i="1"/>
  <c r="M951" i="1"/>
  <c r="L951" i="1"/>
  <c r="M950" i="1"/>
  <c r="L950" i="1"/>
  <c r="M949" i="1"/>
  <c r="L949" i="1"/>
  <c r="M948" i="1"/>
  <c r="L948" i="1"/>
  <c r="M947" i="1"/>
  <c r="L947" i="1"/>
  <c r="M946" i="1"/>
  <c r="L946" i="1"/>
  <c r="M945" i="1"/>
  <c r="L945" i="1"/>
  <c r="M944" i="1"/>
  <c r="L944" i="1"/>
  <c r="M943" i="1"/>
  <c r="L943" i="1"/>
  <c r="M942" i="1"/>
  <c r="L942" i="1"/>
  <c r="M941" i="1"/>
  <c r="L941" i="1"/>
  <c r="M940" i="1"/>
  <c r="L940" i="1"/>
  <c r="M939" i="1"/>
  <c r="L939" i="1"/>
  <c r="M938" i="1"/>
  <c r="L938" i="1"/>
  <c r="M937" i="1"/>
  <c r="L937" i="1"/>
  <c r="M936" i="1"/>
  <c r="L936" i="1"/>
  <c r="M935" i="1"/>
  <c r="L935" i="1"/>
  <c r="M934" i="1"/>
  <c r="L934" i="1"/>
  <c r="M933" i="1"/>
  <c r="L933" i="1"/>
  <c r="M932" i="1"/>
  <c r="L932" i="1"/>
  <c r="M931" i="1"/>
  <c r="L931" i="1"/>
  <c r="M930" i="1"/>
  <c r="L930" i="1"/>
  <c r="M929" i="1"/>
  <c r="L929" i="1"/>
  <c r="M928" i="1"/>
  <c r="L928" i="1"/>
  <c r="M927" i="1"/>
  <c r="L927" i="1"/>
  <c r="M926" i="1"/>
  <c r="L926" i="1"/>
  <c r="M925" i="1"/>
  <c r="L925" i="1"/>
  <c r="M924" i="1"/>
  <c r="L924" i="1"/>
  <c r="M923" i="1"/>
  <c r="L923" i="1"/>
  <c r="M922" i="1"/>
  <c r="L922" i="1"/>
  <c r="M921" i="1"/>
  <c r="L921" i="1"/>
  <c r="M920" i="1"/>
  <c r="L920" i="1"/>
  <c r="M919" i="1"/>
  <c r="L919" i="1"/>
  <c r="M918" i="1"/>
  <c r="L918" i="1"/>
  <c r="M917" i="1"/>
  <c r="L917" i="1"/>
  <c r="M916" i="1"/>
  <c r="L916" i="1"/>
  <c r="M915" i="1"/>
  <c r="L915" i="1"/>
  <c r="M914" i="1"/>
  <c r="L914" i="1"/>
  <c r="M913" i="1"/>
  <c r="L913" i="1"/>
  <c r="M912" i="1"/>
  <c r="L912" i="1"/>
  <c r="M911" i="1"/>
  <c r="L911" i="1"/>
  <c r="M910" i="1"/>
  <c r="L910" i="1"/>
  <c r="M909" i="1"/>
  <c r="L909" i="1"/>
  <c r="M908" i="1"/>
  <c r="L908" i="1"/>
  <c r="M907" i="1"/>
  <c r="L907" i="1"/>
  <c r="M906" i="1"/>
  <c r="L906" i="1"/>
  <c r="M905" i="1"/>
  <c r="L905" i="1"/>
  <c r="M904" i="1"/>
  <c r="L904" i="1"/>
  <c r="M903" i="1"/>
  <c r="L903" i="1"/>
  <c r="M902" i="1"/>
  <c r="L902" i="1"/>
  <c r="M901" i="1"/>
  <c r="L901" i="1"/>
  <c r="E901" i="1"/>
  <c r="M900" i="1"/>
  <c r="L900" i="1"/>
  <c r="M899" i="1"/>
  <c r="L899" i="1"/>
  <c r="M898" i="1"/>
  <c r="L898" i="1"/>
  <c r="M897" i="1"/>
  <c r="L897" i="1"/>
  <c r="M896" i="1"/>
  <c r="L896" i="1"/>
  <c r="M895" i="1"/>
  <c r="L895" i="1"/>
  <c r="M894" i="1"/>
  <c r="L894" i="1"/>
  <c r="M893" i="1"/>
  <c r="L893" i="1"/>
  <c r="M892" i="1"/>
  <c r="L892" i="1"/>
  <c r="M891" i="1"/>
  <c r="L891" i="1"/>
  <c r="M890" i="1"/>
  <c r="L890" i="1"/>
  <c r="M889" i="1"/>
  <c r="L889" i="1"/>
  <c r="M888" i="1"/>
  <c r="L888" i="1"/>
  <c r="M887" i="1"/>
  <c r="L887" i="1"/>
  <c r="M886" i="1"/>
  <c r="L886" i="1"/>
  <c r="M885" i="1"/>
  <c r="L885" i="1"/>
  <c r="M884" i="1"/>
  <c r="L884" i="1"/>
  <c r="M883" i="1"/>
  <c r="L883" i="1"/>
  <c r="M882" i="1"/>
  <c r="L882" i="1"/>
  <c r="M881" i="1"/>
  <c r="L881" i="1"/>
  <c r="M880" i="1"/>
  <c r="L880" i="1"/>
  <c r="M879" i="1"/>
  <c r="L879" i="1"/>
  <c r="M878" i="1"/>
  <c r="L878" i="1"/>
  <c r="M877" i="1"/>
  <c r="L877" i="1"/>
  <c r="M876" i="1"/>
  <c r="L876" i="1"/>
  <c r="M875" i="1"/>
  <c r="L875" i="1"/>
  <c r="M874" i="1"/>
  <c r="L874" i="1"/>
  <c r="M873" i="1"/>
  <c r="L873" i="1"/>
  <c r="M872" i="1"/>
  <c r="L872" i="1"/>
  <c r="M871" i="1"/>
  <c r="L871" i="1"/>
  <c r="M870" i="1"/>
  <c r="L870" i="1"/>
  <c r="M869" i="1"/>
  <c r="L869" i="1"/>
  <c r="M868" i="1"/>
  <c r="L868" i="1"/>
  <c r="M867" i="1"/>
  <c r="L867" i="1"/>
  <c r="M866" i="1"/>
  <c r="L866" i="1"/>
  <c r="M865" i="1"/>
  <c r="L865" i="1"/>
  <c r="M864" i="1"/>
  <c r="L864" i="1"/>
  <c r="M863" i="1"/>
  <c r="L863" i="1"/>
  <c r="M862" i="1"/>
  <c r="L862" i="1"/>
  <c r="M861" i="1"/>
  <c r="L861" i="1"/>
  <c r="M860" i="1"/>
  <c r="L860" i="1"/>
  <c r="M859" i="1"/>
  <c r="L859" i="1"/>
  <c r="M858" i="1"/>
  <c r="L858" i="1"/>
  <c r="M857" i="1"/>
  <c r="L857" i="1"/>
  <c r="M856" i="1"/>
  <c r="L856" i="1"/>
  <c r="M855" i="1"/>
  <c r="L855" i="1"/>
  <c r="M854" i="1"/>
  <c r="L854" i="1"/>
  <c r="M853" i="1"/>
  <c r="L853" i="1"/>
  <c r="F853" i="1"/>
  <c r="E853" i="1"/>
  <c r="M852" i="1"/>
  <c r="L852" i="1"/>
  <c r="F852" i="1"/>
  <c r="M851" i="1"/>
  <c r="L851" i="1"/>
  <c r="F851" i="1"/>
  <c r="M850" i="1"/>
  <c r="L850" i="1"/>
  <c r="F850" i="1"/>
  <c r="M849" i="1"/>
  <c r="L849" i="1"/>
  <c r="F849" i="1"/>
  <c r="M848" i="1"/>
  <c r="L848" i="1"/>
  <c r="F848" i="1"/>
  <c r="M847" i="1"/>
  <c r="L847" i="1"/>
  <c r="F847" i="1"/>
  <c r="M846" i="1"/>
  <c r="L846" i="1"/>
  <c r="F846" i="1"/>
  <c r="M845" i="1"/>
  <c r="L845" i="1"/>
  <c r="F845" i="1"/>
  <c r="M844" i="1"/>
  <c r="L844" i="1"/>
  <c r="F844" i="1"/>
  <c r="M843" i="1"/>
  <c r="L843" i="1"/>
  <c r="F843" i="1"/>
  <c r="M842" i="1"/>
  <c r="L842" i="1"/>
  <c r="F842" i="1"/>
  <c r="M841" i="1"/>
  <c r="L841" i="1"/>
  <c r="F841" i="1"/>
  <c r="M840" i="1"/>
  <c r="L840" i="1"/>
  <c r="F840" i="1"/>
  <c r="M839" i="1"/>
  <c r="L839" i="1"/>
  <c r="F839" i="1"/>
  <c r="M838" i="1"/>
  <c r="L838" i="1"/>
  <c r="F838" i="1"/>
  <c r="M837" i="1"/>
  <c r="L837" i="1"/>
  <c r="F837" i="1"/>
  <c r="M836" i="1"/>
  <c r="L836" i="1"/>
  <c r="F836" i="1"/>
  <c r="M835" i="1"/>
  <c r="L835" i="1"/>
  <c r="F835" i="1"/>
  <c r="M834" i="1"/>
  <c r="L834" i="1"/>
  <c r="F834" i="1"/>
  <c r="M833" i="1"/>
  <c r="L833" i="1"/>
  <c r="F833" i="1"/>
  <c r="M832" i="1"/>
  <c r="L832" i="1"/>
  <c r="F832" i="1"/>
  <c r="M831" i="1"/>
  <c r="L831" i="1"/>
  <c r="F831" i="1"/>
  <c r="M830" i="1"/>
  <c r="L830" i="1"/>
  <c r="F830" i="1"/>
  <c r="M829" i="1"/>
  <c r="L829" i="1"/>
  <c r="F829" i="1"/>
  <c r="M828" i="1"/>
  <c r="L828" i="1"/>
  <c r="F828" i="1"/>
  <c r="M827" i="1"/>
  <c r="L827" i="1"/>
  <c r="F827" i="1"/>
  <c r="M826" i="1"/>
  <c r="L826" i="1"/>
  <c r="F826" i="1"/>
  <c r="M825" i="1"/>
  <c r="L825" i="1"/>
  <c r="F825" i="1"/>
  <c r="M824" i="1"/>
  <c r="L824" i="1"/>
  <c r="F824" i="1"/>
  <c r="M823" i="1"/>
  <c r="L823" i="1"/>
  <c r="F823" i="1"/>
  <c r="M822" i="1"/>
  <c r="L822" i="1"/>
  <c r="F822" i="1"/>
  <c r="M821" i="1"/>
  <c r="L821" i="1"/>
  <c r="F821" i="1"/>
  <c r="M820" i="1"/>
  <c r="L820" i="1"/>
  <c r="F820" i="1"/>
  <c r="M819" i="1"/>
  <c r="L819" i="1"/>
  <c r="F819" i="1"/>
  <c r="M818" i="1"/>
  <c r="L818" i="1"/>
  <c r="F818" i="1"/>
  <c r="M817" i="1"/>
  <c r="L817" i="1"/>
  <c r="F817" i="1"/>
  <c r="M816" i="1"/>
  <c r="L816" i="1"/>
  <c r="F816" i="1"/>
  <c r="M815" i="1"/>
  <c r="L815" i="1"/>
  <c r="F815" i="1"/>
  <c r="M814" i="1"/>
  <c r="L814" i="1"/>
  <c r="F814" i="1"/>
  <c r="M813" i="1"/>
  <c r="L813" i="1"/>
  <c r="F813" i="1"/>
  <c r="M812" i="1"/>
  <c r="L812" i="1"/>
  <c r="F812" i="1"/>
  <c r="M811" i="1"/>
  <c r="L811" i="1"/>
  <c r="F811" i="1"/>
  <c r="M810" i="1"/>
  <c r="L810" i="1"/>
  <c r="F810" i="1"/>
  <c r="M809" i="1"/>
  <c r="L809" i="1"/>
  <c r="F809" i="1"/>
  <c r="M808" i="1"/>
  <c r="L808" i="1"/>
  <c r="F808" i="1"/>
  <c r="M807" i="1"/>
  <c r="L807" i="1"/>
  <c r="F807" i="1"/>
  <c r="M806" i="1"/>
  <c r="L806" i="1"/>
  <c r="F806" i="1"/>
  <c r="M805" i="1"/>
  <c r="L805" i="1"/>
  <c r="F805" i="1"/>
  <c r="M804" i="1"/>
  <c r="L804" i="1"/>
  <c r="F804" i="1"/>
  <c r="M803" i="1"/>
  <c r="L803" i="1"/>
  <c r="F803" i="1"/>
  <c r="M802" i="1"/>
  <c r="L802" i="1"/>
  <c r="F802" i="1"/>
  <c r="M801" i="1"/>
  <c r="L801" i="1"/>
  <c r="F801" i="1"/>
  <c r="M800" i="1"/>
  <c r="L800" i="1"/>
  <c r="F800" i="1"/>
  <c r="M799" i="1"/>
  <c r="L799" i="1"/>
  <c r="F799" i="1"/>
  <c r="M798" i="1"/>
  <c r="L798" i="1"/>
  <c r="F798" i="1"/>
  <c r="M797" i="1"/>
  <c r="L797" i="1"/>
  <c r="F797" i="1"/>
  <c r="M796" i="1"/>
  <c r="L796" i="1"/>
  <c r="F796" i="1"/>
  <c r="M795" i="1"/>
  <c r="L795" i="1"/>
  <c r="F795" i="1"/>
  <c r="M794" i="1"/>
  <c r="L794" i="1"/>
  <c r="F794" i="1"/>
  <c r="M793" i="1"/>
  <c r="L793" i="1"/>
  <c r="F793" i="1"/>
  <c r="M792" i="1"/>
  <c r="L792" i="1"/>
  <c r="F792" i="1"/>
  <c r="M791" i="1"/>
  <c r="L791" i="1"/>
  <c r="F791" i="1"/>
  <c r="M790" i="1"/>
  <c r="L790" i="1"/>
  <c r="F790" i="1"/>
  <c r="M789" i="1"/>
  <c r="L789" i="1"/>
  <c r="F789" i="1"/>
  <c r="M788" i="1"/>
  <c r="L788" i="1"/>
  <c r="F788" i="1"/>
  <c r="M787" i="1"/>
  <c r="L787" i="1"/>
  <c r="F787" i="1"/>
  <c r="M786" i="1"/>
  <c r="L786" i="1"/>
  <c r="F786" i="1"/>
  <c r="M785" i="1"/>
  <c r="L785" i="1"/>
  <c r="F785" i="1"/>
  <c r="M784" i="1"/>
  <c r="L784" i="1"/>
  <c r="F784" i="1"/>
  <c r="M783" i="1"/>
  <c r="L783" i="1"/>
  <c r="F783" i="1"/>
  <c r="M782" i="1"/>
  <c r="L782" i="1"/>
  <c r="F782" i="1"/>
  <c r="M781" i="1"/>
  <c r="L781" i="1"/>
  <c r="F781" i="1"/>
  <c r="M780" i="1"/>
  <c r="L780" i="1"/>
  <c r="F780" i="1"/>
  <c r="M779" i="1"/>
  <c r="L779" i="1"/>
  <c r="F779" i="1"/>
  <c r="M778" i="1"/>
  <c r="L778" i="1"/>
  <c r="F778" i="1"/>
  <c r="M777" i="1"/>
  <c r="L777" i="1"/>
  <c r="F777" i="1"/>
  <c r="M776" i="1"/>
  <c r="L776" i="1"/>
  <c r="F776" i="1"/>
  <c r="M775" i="1"/>
  <c r="L775" i="1"/>
  <c r="F775" i="1"/>
  <c r="M774" i="1"/>
  <c r="L774" i="1"/>
  <c r="F774" i="1"/>
  <c r="M773" i="1"/>
  <c r="L773" i="1"/>
  <c r="F773" i="1"/>
  <c r="M772" i="1"/>
  <c r="L772" i="1"/>
  <c r="F772" i="1"/>
  <c r="M771" i="1"/>
  <c r="L771" i="1"/>
  <c r="F771" i="1"/>
  <c r="M770" i="1"/>
  <c r="L770" i="1"/>
  <c r="F770" i="1"/>
  <c r="M769" i="1"/>
  <c r="L769" i="1"/>
  <c r="F769" i="1"/>
  <c r="M768" i="1"/>
  <c r="L768" i="1"/>
  <c r="F768" i="1"/>
  <c r="M767" i="1"/>
  <c r="L767" i="1"/>
  <c r="F767" i="1"/>
  <c r="M766" i="1"/>
  <c r="L766" i="1"/>
  <c r="F766" i="1"/>
  <c r="M765" i="1"/>
  <c r="L765" i="1"/>
  <c r="F765" i="1"/>
  <c r="M764" i="1"/>
  <c r="L764" i="1"/>
  <c r="F764" i="1"/>
  <c r="M763" i="1"/>
  <c r="L763" i="1"/>
  <c r="F763" i="1"/>
  <c r="M762" i="1"/>
  <c r="L762" i="1"/>
  <c r="F762" i="1"/>
  <c r="M761" i="1"/>
  <c r="L761" i="1"/>
  <c r="F761" i="1"/>
  <c r="M760" i="1"/>
  <c r="L760" i="1"/>
  <c r="F760" i="1"/>
  <c r="M759" i="1"/>
  <c r="L759" i="1"/>
  <c r="F759" i="1"/>
  <c r="M758" i="1"/>
  <c r="L758" i="1"/>
  <c r="F758" i="1"/>
  <c r="M757" i="1"/>
  <c r="L757" i="1"/>
  <c r="F757" i="1"/>
  <c r="M756" i="1"/>
  <c r="L756" i="1"/>
  <c r="F756" i="1"/>
  <c r="M755" i="1"/>
  <c r="L755" i="1"/>
  <c r="F755" i="1"/>
  <c r="M754" i="1"/>
  <c r="L754" i="1"/>
  <c r="F754" i="1"/>
  <c r="M753" i="1"/>
  <c r="L753" i="1"/>
  <c r="F753" i="1"/>
  <c r="M752" i="1"/>
  <c r="L752" i="1"/>
  <c r="F752" i="1"/>
  <c r="M751" i="1"/>
  <c r="L751" i="1"/>
  <c r="F751" i="1"/>
  <c r="M750" i="1"/>
  <c r="L750" i="1"/>
  <c r="F750" i="1"/>
  <c r="M749" i="1"/>
  <c r="L749" i="1"/>
  <c r="F749" i="1"/>
  <c r="M748" i="1"/>
  <c r="L748" i="1"/>
  <c r="F748" i="1"/>
  <c r="M747" i="1"/>
  <c r="L747" i="1"/>
  <c r="F747" i="1"/>
  <c r="M746" i="1"/>
  <c r="L746" i="1"/>
  <c r="F746" i="1"/>
  <c r="M745" i="1"/>
  <c r="L745" i="1"/>
  <c r="F745" i="1"/>
  <c r="M744" i="1"/>
  <c r="L744" i="1"/>
  <c r="F744" i="1"/>
  <c r="M743" i="1"/>
  <c r="L743" i="1"/>
  <c r="F743" i="1"/>
  <c r="M742" i="1"/>
  <c r="L742" i="1"/>
  <c r="F742" i="1"/>
  <c r="M741" i="1"/>
  <c r="L741" i="1"/>
  <c r="F741" i="1"/>
  <c r="M740" i="1"/>
  <c r="L740" i="1"/>
  <c r="F740" i="1"/>
  <c r="M739" i="1"/>
  <c r="L739" i="1"/>
  <c r="F739" i="1"/>
  <c r="M738" i="1"/>
  <c r="L738" i="1"/>
  <c r="F738" i="1"/>
  <c r="M737" i="1"/>
  <c r="L737" i="1"/>
  <c r="F737" i="1"/>
  <c r="M736" i="1"/>
  <c r="L736" i="1"/>
  <c r="F736" i="1"/>
  <c r="M735" i="1"/>
  <c r="L735" i="1"/>
  <c r="F735" i="1"/>
  <c r="M734" i="1"/>
  <c r="L734" i="1"/>
  <c r="F734" i="1"/>
  <c r="M733" i="1"/>
  <c r="L733" i="1"/>
  <c r="F733" i="1"/>
  <c r="F723" i="1"/>
  <c r="F718" i="1"/>
  <c r="F715" i="1"/>
  <c r="F714" i="1"/>
  <c r="F713" i="1"/>
  <c r="F699" i="1"/>
  <c r="F698" i="1"/>
  <c r="F694" i="1"/>
  <c r="F691" i="1"/>
  <c r="F690" i="1"/>
  <c r="F677" i="1"/>
  <c r="F676" i="1"/>
  <c r="F675" i="1"/>
  <c r="F674" i="1"/>
  <c r="F670" i="1"/>
  <c r="F655" i="1"/>
  <c r="F654" i="1"/>
  <c r="F653" i="1"/>
  <c r="F652" i="1"/>
  <c r="F651" i="1"/>
  <c r="F638" i="1"/>
  <c r="F634" i="1"/>
  <c r="F631" i="1"/>
  <c r="F630" i="1"/>
  <c r="F629" i="1"/>
  <c r="F616" i="1"/>
  <c r="F615" i="1"/>
  <c r="F614" i="1"/>
  <c r="F610" i="1"/>
  <c r="F607" i="1"/>
  <c r="F594" i="1"/>
  <c r="F593" i="1"/>
  <c r="F592" i="1"/>
  <c r="F591" i="1"/>
  <c r="F590" i="1"/>
  <c r="F574" i="1"/>
  <c r="F571" i="1"/>
  <c r="F570" i="1"/>
  <c r="F569" i="1"/>
  <c r="F568" i="1"/>
  <c r="F555" i="1"/>
  <c r="F554" i="1"/>
  <c r="F552" i="1"/>
  <c r="F551" i="1"/>
  <c r="F550" i="1"/>
  <c r="E545" i="1"/>
  <c r="F724" i="1" s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M518" i="1"/>
  <c r="L518" i="1"/>
  <c r="F518" i="1"/>
  <c r="L517" i="1"/>
  <c r="M517" i="1" s="1"/>
  <c r="F517" i="1"/>
  <c r="L516" i="1"/>
  <c r="M516" i="1" s="1"/>
  <c r="F516" i="1"/>
  <c r="M515" i="1"/>
  <c r="L515" i="1"/>
  <c r="F515" i="1"/>
  <c r="L514" i="1"/>
  <c r="M514" i="1" s="1"/>
  <c r="F514" i="1"/>
  <c r="L513" i="1"/>
  <c r="M513" i="1" s="1"/>
  <c r="F513" i="1"/>
  <c r="L512" i="1"/>
  <c r="M512" i="1" s="1"/>
  <c r="F512" i="1"/>
  <c r="L511" i="1"/>
  <c r="M511" i="1" s="1"/>
  <c r="F511" i="1"/>
  <c r="L510" i="1"/>
  <c r="M510" i="1" s="1"/>
  <c r="F510" i="1"/>
  <c r="M509" i="1"/>
  <c r="L509" i="1"/>
  <c r="F509" i="1"/>
  <c r="L508" i="1"/>
  <c r="M508" i="1" s="1"/>
  <c r="F508" i="1"/>
  <c r="L507" i="1"/>
  <c r="M507" i="1" s="1"/>
  <c r="F507" i="1"/>
  <c r="M506" i="1"/>
  <c r="L506" i="1"/>
  <c r="F506" i="1"/>
  <c r="M505" i="1"/>
  <c r="L505" i="1"/>
  <c r="F505" i="1"/>
  <c r="L504" i="1"/>
  <c r="M504" i="1" s="1"/>
  <c r="F504" i="1"/>
  <c r="M503" i="1"/>
  <c r="L503" i="1"/>
  <c r="F503" i="1"/>
  <c r="L502" i="1"/>
  <c r="M502" i="1" s="1"/>
  <c r="F502" i="1"/>
  <c r="L501" i="1"/>
  <c r="M501" i="1" s="1"/>
  <c r="F501" i="1"/>
  <c r="L500" i="1"/>
  <c r="M500" i="1" s="1"/>
  <c r="F500" i="1"/>
  <c r="L499" i="1"/>
  <c r="M499" i="1" s="1"/>
  <c r="F499" i="1"/>
  <c r="M498" i="1"/>
  <c r="L498" i="1"/>
  <c r="F498" i="1"/>
  <c r="M497" i="1"/>
  <c r="L497" i="1"/>
  <c r="F497" i="1"/>
  <c r="L496" i="1"/>
  <c r="M496" i="1" s="1"/>
  <c r="F496" i="1"/>
  <c r="L495" i="1"/>
  <c r="M495" i="1" s="1"/>
  <c r="F495" i="1"/>
  <c r="M494" i="1"/>
  <c r="L494" i="1"/>
  <c r="F494" i="1"/>
  <c r="M493" i="1"/>
  <c r="L493" i="1"/>
  <c r="F493" i="1"/>
  <c r="L492" i="1"/>
  <c r="M492" i="1" s="1"/>
  <c r="F492" i="1"/>
  <c r="M491" i="1"/>
  <c r="L491" i="1"/>
  <c r="F491" i="1"/>
  <c r="L490" i="1"/>
  <c r="M490" i="1" s="1"/>
  <c r="F490" i="1"/>
  <c r="L489" i="1"/>
  <c r="M489" i="1" s="1"/>
  <c r="F489" i="1"/>
  <c r="L488" i="1"/>
  <c r="M488" i="1" s="1"/>
  <c r="F488" i="1"/>
  <c r="L487" i="1"/>
  <c r="M487" i="1" s="1"/>
  <c r="F487" i="1"/>
  <c r="M486" i="1"/>
  <c r="L486" i="1"/>
  <c r="F486" i="1"/>
  <c r="M485" i="1"/>
  <c r="L485" i="1"/>
  <c r="F485" i="1"/>
  <c r="L484" i="1"/>
  <c r="M484" i="1" s="1"/>
  <c r="F484" i="1"/>
  <c r="L483" i="1"/>
  <c r="M483" i="1" s="1"/>
  <c r="F483" i="1"/>
  <c r="M482" i="1"/>
  <c r="L482" i="1"/>
  <c r="F482" i="1"/>
  <c r="L481" i="1"/>
  <c r="M481" i="1" s="1"/>
  <c r="F481" i="1"/>
  <c r="L480" i="1"/>
  <c r="M480" i="1" s="1"/>
  <c r="F480" i="1"/>
  <c r="M479" i="1"/>
  <c r="L479" i="1"/>
  <c r="F479" i="1"/>
  <c r="L478" i="1"/>
  <c r="M478" i="1" s="1"/>
  <c r="F478" i="1"/>
  <c r="L477" i="1"/>
  <c r="M477" i="1" s="1"/>
  <c r="F477" i="1"/>
  <c r="M476" i="1"/>
  <c r="L476" i="1"/>
  <c r="F476" i="1"/>
  <c r="L475" i="1"/>
  <c r="M475" i="1" s="1"/>
  <c r="F475" i="1"/>
  <c r="L474" i="1"/>
  <c r="M474" i="1" s="1"/>
  <c r="F474" i="1"/>
  <c r="M473" i="1"/>
  <c r="L473" i="1"/>
  <c r="F473" i="1"/>
  <c r="L472" i="1"/>
  <c r="M472" i="1" s="1"/>
  <c r="F472" i="1"/>
  <c r="M471" i="1"/>
  <c r="L471" i="1"/>
  <c r="F471" i="1"/>
  <c r="M470" i="1"/>
  <c r="L470" i="1"/>
  <c r="F470" i="1"/>
  <c r="M469" i="1"/>
  <c r="L469" i="1"/>
  <c r="F469" i="1"/>
  <c r="L468" i="1"/>
  <c r="M468" i="1" s="1"/>
  <c r="F468" i="1"/>
  <c r="M467" i="1"/>
  <c r="L467" i="1"/>
  <c r="F467" i="1"/>
  <c r="L466" i="1"/>
  <c r="M466" i="1" s="1"/>
  <c r="F466" i="1"/>
  <c r="L465" i="1"/>
  <c r="M465" i="1" s="1"/>
  <c r="F465" i="1"/>
  <c r="L464" i="1"/>
  <c r="M464" i="1" s="1"/>
  <c r="F464" i="1"/>
  <c r="L463" i="1"/>
  <c r="M463" i="1" s="1"/>
  <c r="F463" i="1"/>
  <c r="L462" i="1"/>
  <c r="M462" i="1" s="1"/>
  <c r="F462" i="1"/>
  <c r="M461" i="1"/>
  <c r="L461" i="1"/>
  <c r="F461" i="1"/>
  <c r="L460" i="1"/>
  <c r="M460" i="1" s="1"/>
  <c r="F460" i="1"/>
  <c r="L459" i="1"/>
  <c r="M459" i="1" s="1"/>
  <c r="F459" i="1"/>
  <c r="M458" i="1"/>
  <c r="L458" i="1"/>
  <c r="F458" i="1"/>
  <c r="L457" i="1"/>
  <c r="M457" i="1" s="1"/>
  <c r="F457" i="1"/>
  <c r="L456" i="1"/>
  <c r="M456" i="1" s="1"/>
  <c r="F456" i="1"/>
  <c r="M455" i="1"/>
  <c r="L455" i="1"/>
  <c r="F455" i="1"/>
  <c r="L454" i="1"/>
  <c r="M454" i="1" s="1"/>
  <c r="F454" i="1"/>
  <c r="L453" i="1"/>
  <c r="M453" i="1" s="1"/>
  <c r="F453" i="1"/>
  <c r="L452" i="1"/>
  <c r="M452" i="1" s="1"/>
  <c r="F452" i="1"/>
  <c r="L451" i="1"/>
  <c r="M451" i="1" s="1"/>
  <c r="F451" i="1"/>
  <c r="M450" i="1"/>
  <c r="L450" i="1"/>
  <c r="F450" i="1"/>
  <c r="M449" i="1"/>
  <c r="L449" i="1"/>
  <c r="F449" i="1"/>
  <c r="L448" i="1"/>
  <c r="M448" i="1" s="1"/>
  <c r="F448" i="1"/>
  <c r="L447" i="1"/>
  <c r="M447" i="1" s="1"/>
  <c r="F447" i="1"/>
  <c r="M446" i="1"/>
  <c r="L446" i="1"/>
  <c r="F446" i="1"/>
  <c r="L445" i="1"/>
  <c r="M445" i="1" s="1"/>
  <c r="F445" i="1"/>
  <c r="L444" i="1"/>
  <c r="M444" i="1" s="1"/>
  <c r="F444" i="1"/>
  <c r="M443" i="1"/>
  <c r="L443" i="1"/>
  <c r="F443" i="1"/>
  <c r="L442" i="1"/>
  <c r="M442" i="1" s="1"/>
  <c r="F442" i="1"/>
  <c r="L441" i="1"/>
  <c r="M441" i="1" s="1"/>
  <c r="F441" i="1"/>
  <c r="M440" i="1"/>
  <c r="L440" i="1"/>
  <c r="F440" i="1"/>
  <c r="L439" i="1"/>
  <c r="M439" i="1" s="1"/>
  <c r="F439" i="1"/>
  <c r="L438" i="1"/>
  <c r="M438" i="1" s="1"/>
  <c r="F438" i="1"/>
  <c r="M437" i="1"/>
  <c r="L437" i="1"/>
  <c r="F437" i="1"/>
  <c r="L436" i="1"/>
  <c r="M436" i="1" s="1"/>
  <c r="F436" i="1"/>
  <c r="M435" i="1"/>
  <c r="L435" i="1"/>
  <c r="F435" i="1"/>
  <c r="M434" i="1"/>
  <c r="L434" i="1"/>
  <c r="F434" i="1"/>
  <c r="L433" i="1"/>
  <c r="M433" i="1" s="1"/>
  <c r="F433" i="1"/>
  <c r="L432" i="1"/>
  <c r="M432" i="1" s="1"/>
  <c r="F432" i="1"/>
  <c r="M431" i="1"/>
  <c r="L431" i="1"/>
  <c r="F431" i="1"/>
  <c r="L430" i="1"/>
  <c r="M430" i="1" s="1"/>
  <c r="F430" i="1"/>
  <c r="L429" i="1"/>
  <c r="M429" i="1" s="1"/>
  <c r="F429" i="1"/>
  <c r="L428" i="1"/>
  <c r="M428" i="1" s="1"/>
  <c r="F428" i="1"/>
  <c r="L427" i="1"/>
  <c r="M427" i="1" s="1"/>
  <c r="F427" i="1"/>
  <c r="L426" i="1"/>
  <c r="M426" i="1" s="1"/>
  <c r="F426" i="1"/>
  <c r="L425" i="1"/>
  <c r="M425" i="1" s="1"/>
  <c r="F425" i="1"/>
  <c r="M424" i="1"/>
  <c r="L424" i="1"/>
  <c r="F424" i="1"/>
  <c r="L423" i="1"/>
  <c r="M423" i="1" s="1"/>
  <c r="F423" i="1"/>
  <c r="L422" i="1"/>
  <c r="M422" i="1" s="1"/>
  <c r="F422" i="1"/>
  <c r="M421" i="1"/>
  <c r="L421" i="1"/>
  <c r="F421" i="1"/>
  <c r="L420" i="1"/>
  <c r="M420" i="1" s="1"/>
  <c r="F420" i="1"/>
  <c r="L419" i="1"/>
  <c r="M419" i="1" s="1"/>
  <c r="F419" i="1"/>
  <c r="M418" i="1"/>
  <c r="L418" i="1"/>
  <c r="F418" i="1"/>
  <c r="L417" i="1"/>
  <c r="M417" i="1" s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S404" i="1"/>
  <c r="R404" i="1"/>
  <c r="F404" i="1"/>
  <c r="R403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J391" i="1"/>
  <c r="F391" i="1"/>
  <c r="J390" i="1"/>
  <c r="L390" i="1" s="1"/>
  <c r="M390" i="1" s="1"/>
  <c r="F390" i="1"/>
  <c r="L389" i="1"/>
  <c r="M389" i="1" s="1"/>
  <c r="F389" i="1"/>
  <c r="F388" i="1"/>
  <c r="F387" i="1"/>
  <c r="J386" i="1"/>
  <c r="F386" i="1"/>
  <c r="J385" i="1"/>
  <c r="L385" i="1" s="1"/>
  <c r="M385" i="1" s="1"/>
  <c r="F385" i="1"/>
  <c r="F384" i="1"/>
  <c r="L383" i="1"/>
  <c r="M383" i="1" s="1"/>
  <c r="J383" i="1"/>
  <c r="J384" i="1" s="1"/>
  <c r="L384" i="1" s="1"/>
  <c r="M384" i="1" s="1"/>
  <c r="F383" i="1"/>
  <c r="M382" i="1"/>
  <c r="L382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M368" i="1"/>
  <c r="L368" i="1"/>
  <c r="J368" i="1"/>
  <c r="J369" i="1" s="1"/>
  <c r="F368" i="1"/>
  <c r="L367" i="1"/>
  <c r="M367" i="1" s="1"/>
  <c r="M366" i="1"/>
  <c r="L366" i="1"/>
  <c r="L365" i="1"/>
  <c r="M365" i="1" s="1"/>
  <c r="L364" i="1"/>
  <c r="M364" i="1" s="1"/>
  <c r="F364" i="1"/>
  <c r="F361" i="1"/>
  <c r="M360" i="1"/>
  <c r="L360" i="1"/>
  <c r="J360" i="1"/>
  <c r="J361" i="1" s="1"/>
  <c r="L359" i="1"/>
  <c r="M359" i="1" s="1"/>
  <c r="J359" i="1"/>
  <c r="F359" i="1"/>
  <c r="L358" i="1"/>
  <c r="M358" i="1" s="1"/>
  <c r="J357" i="1"/>
  <c r="L357" i="1" s="1"/>
  <c r="M357" i="1" s="1"/>
  <c r="F357" i="1"/>
  <c r="J356" i="1"/>
  <c r="L356" i="1" s="1"/>
  <c r="M356" i="1" s="1"/>
  <c r="J355" i="1"/>
  <c r="L355" i="1" s="1"/>
  <c r="M355" i="1" s="1"/>
  <c r="M354" i="1"/>
  <c r="L354" i="1"/>
  <c r="L352" i="1"/>
  <c r="M352" i="1" s="1"/>
  <c r="L351" i="1"/>
  <c r="M351" i="1" s="1"/>
  <c r="J351" i="1"/>
  <c r="J352" i="1" s="1"/>
  <c r="J353" i="1" s="1"/>
  <c r="L353" i="1" s="1"/>
  <c r="M353" i="1" s="1"/>
  <c r="F350" i="1"/>
  <c r="J348" i="1"/>
  <c r="J349" i="1" s="1"/>
  <c r="J350" i="1" s="1"/>
  <c r="L350" i="1" s="1"/>
  <c r="M350" i="1" s="1"/>
  <c r="L347" i="1"/>
  <c r="M347" i="1" s="1"/>
  <c r="J347" i="1"/>
  <c r="F347" i="1"/>
  <c r="M346" i="1"/>
  <c r="L346" i="1"/>
  <c r="J346" i="1"/>
  <c r="L345" i="1"/>
  <c r="M345" i="1" s="1"/>
  <c r="F345" i="1"/>
  <c r="F339" i="1"/>
  <c r="K335" i="1"/>
  <c r="F334" i="1"/>
  <c r="F332" i="1"/>
  <c r="F329" i="1"/>
  <c r="J327" i="1"/>
  <c r="J328" i="1" s="1"/>
  <c r="L326" i="1"/>
  <c r="M326" i="1" s="1"/>
  <c r="J324" i="1"/>
  <c r="J325" i="1" s="1"/>
  <c r="L325" i="1" s="1"/>
  <c r="M325" i="1" s="1"/>
  <c r="F324" i="1"/>
  <c r="M323" i="1"/>
  <c r="L323" i="1"/>
  <c r="J322" i="1"/>
  <c r="L322" i="1" s="1"/>
  <c r="M322" i="1" s="1"/>
  <c r="J321" i="1"/>
  <c r="L321" i="1" s="1"/>
  <c r="M321" i="1" s="1"/>
  <c r="F321" i="1"/>
  <c r="M320" i="1"/>
  <c r="L320" i="1"/>
  <c r="J320" i="1"/>
  <c r="L319" i="1"/>
  <c r="M319" i="1" s="1"/>
  <c r="F319" i="1"/>
  <c r="M318" i="1"/>
  <c r="L318" i="1"/>
  <c r="M317" i="1"/>
  <c r="L317" i="1"/>
  <c r="L316" i="1"/>
  <c r="M316" i="1" s="1"/>
  <c r="F316" i="1"/>
  <c r="M315" i="1"/>
  <c r="L315" i="1"/>
  <c r="L314" i="1"/>
  <c r="M314" i="1" s="1"/>
  <c r="F314" i="1"/>
  <c r="L313" i="1"/>
  <c r="M313" i="1" s="1"/>
  <c r="L312" i="1"/>
  <c r="M312" i="1" s="1"/>
  <c r="M311" i="1"/>
  <c r="L311" i="1"/>
  <c r="F311" i="1"/>
  <c r="L310" i="1"/>
  <c r="M310" i="1" s="1"/>
  <c r="L309" i="1"/>
  <c r="M309" i="1" s="1"/>
  <c r="F309" i="1"/>
  <c r="M308" i="1"/>
  <c r="L308" i="1"/>
  <c r="L307" i="1"/>
  <c r="M307" i="1" s="1"/>
  <c r="F307" i="1"/>
  <c r="M306" i="1"/>
  <c r="L306" i="1"/>
  <c r="M305" i="1"/>
  <c r="L305" i="1"/>
  <c r="L304" i="1"/>
  <c r="M304" i="1" s="1"/>
  <c r="F304" i="1"/>
  <c r="M303" i="1"/>
  <c r="L303" i="1"/>
  <c r="L302" i="1"/>
  <c r="M302" i="1" s="1"/>
  <c r="F302" i="1"/>
  <c r="L301" i="1"/>
  <c r="M301" i="1" s="1"/>
  <c r="L300" i="1"/>
  <c r="M300" i="1" s="1"/>
  <c r="M299" i="1"/>
  <c r="L299" i="1"/>
  <c r="F299" i="1"/>
  <c r="L298" i="1"/>
  <c r="M298" i="1" s="1"/>
  <c r="L297" i="1"/>
  <c r="M297" i="1" s="1"/>
  <c r="F297" i="1"/>
  <c r="M296" i="1"/>
  <c r="L296" i="1"/>
  <c r="L295" i="1"/>
  <c r="M295" i="1" s="1"/>
  <c r="F295" i="1"/>
  <c r="M294" i="1"/>
  <c r="L294" i="1"/>
  <c r="M293" i="1"/>
  <c r="L293" i="1"/>
  <c r="L292" i="1"/>
  <c r="M292" i="1" s="1"/>
  <c r="F292" i="1"/>
  <c r="M291" i="1"/>
  <c r="L291" i="1"/>
  <c r="L290" i="1"/>
  <c r="M290" i="1" s="1"/>
  <c r="F290" i="1"/>
  <c r="L289" i="1"/>
  <c r="M289" i="1" s="1"/>
  <c r="F287" i="1"/>
  <c r="F286" i="1"/>
  <c r="F285" i="1"/>
  <c r="F284" i="1"/>
  <c r="F283" i="1"/>
  <c r="F275" i="1"/>
  <c r="F274" i="1"/>
  <c r="F273" i="1"/>
  <c r="F272" i="1"/>
  <c r="F271" i="1"/>
  <c r="F263" i="1"/>
  <c r="F262" i="1"/>
  <c r="F261" i="1"/>
  <c r="F260" i="1"/>
  <c r="F259" i="1"/>
  <c r="F257" i="1"/>
  <c r="F251" i="1"/>
  <c r="F250" i="1"/>
  <c r="F249" i="1"/>
  <c r="F248" i="1"/>
  <c r="F247" i="1"/>
  <c r="F245" i="1"/>
  <c r="F242" i="1"/>
  <c r="F241" i="1"/>
  <c r="F239" i="1"/>
  <c r="F238" i="1"/>
  <c r="F237" i="1"/>
  <c r="F236" i="1"/>
  <c r="F235" i="1"/>
  <c r="E235" i="1"/>
  <c r="F234" i="1"/>
  <c r="F233" i="1"/>
  <c r="E233" i="1"/>
  <c r="F232" i="1"/>
  <c r="F231" i="1"/>
  <c r="E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Y1085" i="1" l="1"/>
  <c r="Z1085" i="1" s="1"/>
  <c r="L327" i="1"/>
  <c r="M327" i="1" s="1"/>
  <c r="J329" i="1"/>
  <c r="L328" i="1"/>
  <c r="M328" i="1" s="1"/>
  <c r="J392" i="1"/>
  <c r="L391" i="1"/>
  <c r="M391" i="1" s="1"/>
  <c r="J387" i="1"/>
  <c r="L386" i="1"/>
  <c r="M386" i="1" s="1"/>
  <c r="F343" i="1"/>
  <c r="F340" i="1"/>
  <c r="F337" i="1"/>
  <c r="F325" i="1"/>
  <c r="F366" i="1"/>
  <c r="F352" i="1"/>
  <c r="F349" i="1"/>
  <c r="F346" i="1"/>
  <c r="F358" i="1"/>
  <c r="F355" i="1"/>
  <c r="F344" i="1"/>
  <c r="F341" i="1"/>
  <c r="F367" i="1"/>
  <c r="F356" i="1"/>
  <c r="F240" i="1"/>
  <c r="F252" i="1"/>
  <c r="F264" i="1"/>
  <c r="F276" i="1"/>
  <c r="F288" i="1"/>
  <c r="F294" i="1"/>
  <c r="F306" i="1"/>
  <c r="F318" i="1"/>
  <c r="F326" i="1"/>
  <c r="F331" i="1"/>
  <c r="E1219" i="1"/>
  <c r="F253" i="1"/>
  <c r="F265" i="1"/>
  <c r="F277" i="1"/>
  <c r="F289" i="1"/>
  <c r="F301" i="1"/>
  <c r="F313" i="1"/>
  <c r="F336" i="1"/>
  <c r="F348" i="1"/>
  <c r="F353" i="1"/>
  <c r="F362" i="1"/>
  <c r="L324" i="1"/>
  <c r="M324" i="1" s="1"/>
  <c r="F254" i="1"/>
  <c r="F266" i="1"/>
  <c r="F278" i="1"/>
  <c r="F296" i="1"/>
  <c r="F308" i="1"/>
  <c r="F320" i="1"/>
  <c r="F323" i="1"/>
  <c r="F328" i="1"/>
  <c r="F333" i="1"/>
  <c r="F360" i="1"/>
  <c r="E970" i="1"/>
  <c r="F243" i="1"/>
  <c r="F255" i="1"/>
  <c r="F267" i="1"/>
  <c r="F279" i="1"/>
  <c r="F291" i="1"/>
  <c r="F303" i="1"/>
  <c r="F315" i="1"/>
  <c r="L348" i="1"/>
  <c r="M348" i="1" s="1"/>
  <c r="F351" i="1"/>
  <c r="L361" i="1"/>
  <c r="M361" i="1" s="1"/>
  <c r="J362" i="1"/>
  <c r="F244" i="1"/>
  <c r="F256" i="1"/>
  <c r="F268" i="1"/>
  <c r="F280" i="1"/>
  <c r="F298" i="1"/>
  <c r="F310" i="1"/>
  <c r="F330" i="1"/>
  <c r="F338" i="1"/>
  <c r="F365" i="1"/>
  <c r="D1917" i="1"/>
  <c r="D1918" i="1" s="1"/>
  <c r="B1918" i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F269" i="1"/>
  <c r="F281" i="1"/>
  <c r="F293" i="1"/>
  <c r="F305" i="1"/>
  <c r="F317" i="1"/>
  <c r="F335" i="1"/>
  <c r="F342" i="1"/>
  <c r="F354" i="1"/>
  <c r="F363" i="1"/>
  <c r="F246" i="1"/>
  <c r="F258" i="1"/>
  <c r="F270" i="1"/>
  <c r="F282" i="1"/>
  <c r="F300" i="1"/>
  <c r="F312" i="1"/>
  <c r="F322" i="1"/>
  <c r="F327" i="1"/>
  <c r="L349" i="1"/>
  <c r="M349" i="1" s="1"/>
  <c r="L369" i="1"/>
  <c r="M369" i="1" s="1"/>
  <c r="J370" i="1"/>
  <c r="F556" i="1"/>
  <c r="F578" i="1"/>
  <c r="F595" i="1"/>
  <c r="F617" i="1"/>
  <c r="F639" i="1"/>
  <c r="F658" i="1"/>
  <c r="F678" i="1"/>
  <c r="F700" i="1"/>
  <c r="F722" i="1"/>
  <c r="F710" i="1"/>
  <c r="F721" i="1"/>
  <c r="F709" i="1"/>
  <c r="F697" i="1"/>
  <c r="F685" i="1"/>
  <c r="F673" i="1"/>
  <c r="F661" i="1"/>
  <c r="F649" i="1"/>
  <c r="F637" i="1"/>
  <c r="F625" i="1"/>
  <c r="F613" i="1"/>
  <c r="F601" i="1"/>
  <c r="F589" i="1"/>
  <c r="F577" i="1"/>
  <c r="F565" i="1"/>
  <c r="F553" i="1"/>
  <c r="F732" i="1"/>
  <c r="F720" i="1"/>
  <c r="F708" i="1"/>
  <c r="F696" i="1"/>
  <c r="F684" i="1"/>
  <c r="F672" i="1"/>
  <c r="F660" i="1"/>
  <c r="F648" i="1"/>
  <c r="F636" i="1"/>
  <c r="F624" i="1"/>
  <c r="F612" i="1"/>
  <c r="F600" i="1"/>
  <c r="F588" i="1"/>
  <c r="F576" i="1"/>
  <c r="F564" i="1"/>
  <c r="F731" i="1"/>
  <c r="F719" i="1"/>
  <c r="F707" i="1"/>
  <c r="F695" i="1"/>
  <c r="F683" i="1"/>
  <c r="F671" i="1"/>
  <c r="F659" i="1"/>
  <c r="F647" i="1"/>
  <c r="F635" i="1"/>
  <c r="F623" i="1"/>
  <c r="F611" i="1"/>
  <c r="F599" i="1"/>
  <c r="F587" i="1"/>
  <c r="F575" i="1"/>
  <c r="F563" i="1"/>
  <c r="F729" i="1"/>
  <c r="F717" i="1"/>
  <c r="F705" i="1"/>
  <c r="F693" i="1"/>
  <c r="F681" i="1"/>
  <c r="F669" i="1"/>
  <c r="F657" i="1"/>
  <c r="F645" i="1"/>
  <c r="F633" i="1"/>
  <c r="F621" i="1"/>
  <c r="F609" i="1"/>
  <c r="F597" i="1"/>
  <c r="F585" i="1"/>
  <c r="F573" i="1"/>
  <c r="F561" i="1"/>
  <c r="F728" i="1"/>
  <c r="F716" i="1"/>
  <c r="F704" i="1"/>
  <c r="F692" i="1"/>
  <c r="F680" i="1"/>
  <c r="F668" i="1"/>
  <c r="F656" i="1"/>
  <c r="F644" i="1"/>
  <c r="F632" i="1"/>
  <c r="F620" i="1"/>
  <c r="F608" i="1"/>
  <c r="F596" i="1"/>
  <c r="F584" i="1"/>
  <c r="F572" i="1"/>
  <c r="F560" i="1"/>
  <c r="F557" i="1"/>
  <c r="F579" i="1"/>
  <c r="F598" i="1"/>
  <c r="F618" i="1"/>
  <c r="F640" i="1"/>
  <c r="F662" i="1"/>
  <c r="F679" i="1"/>
  <c r="F701" i="1"/>
  <c r="F725" i="1"/>
  <c r="F545" i="1"/>
  <c r="F558" i="1"/>
  <c r="F580" i="1"/>
  <c r="F602" i="1"/>
  <c r="F619" i="1"/>
  <c r="F641" i="1"/>
  <c r="F663" i="1"/>
  <c r="F682" i="1"/>
  <c r="F702" i="1"/>
  <c r="F726" i="1"/>
  <c r="E902" i="1"/>
  <c r="F546" i="1"/>
  <c r="F559" i="1"/>
  <c r="F581" i="1"/>
  <c r="F603" i="1"/>
  <c r="F622" i="1"/>
  <c r="F642" i="1"/>
  <c r="F664" i="1"/>
  <c r="F686" i="1"/>
  <c r="F703" i="1"/>
  <c r="F727" i="1"/>
  <c r="F547" i="1"/>
  <c r="F562" i="1"/>
  <c r="F582" i="1"/>
  <c r="F604" i="1"/>
  <c r="F626" i="1"/>
  <c r="F643" i="1"/>
  <c r="F665" i="1"/>
  <c r="F687" i="1"/>
  <c r="F706" i="1"/>
  <c r="F730" i="1"/>
  <c r="F548" i="1"/>
  <c r="F566" i="1"/>
  <c r="F583" i="1"/>
  <c r="F605" i="1"/>
  <c r="F627" i="1"/>
  <c r="F646" i="1"/>
  <c r="F666" i="1"/>
  <c r="F688" i="1"/>
  <c r="F711" i="1"/>
  <c r="F549" i="1"/>
  <c r="F567" i="1"/>
  <c r="F586" i="1"/>
  <c r="F606" i="1"/>
  <c r="F628" i="1"/>
  <c r="F650" i="1"/>
  <c r="F667" i="1"/>
  <c r="F689" i="1"/>
  <c r="F712" i="1"/>
  <c r="E1297" i="1"/>
  <c r="F888" i="1"/>
  <c r="F934" i="1"/>
  <c r="F946" i="1"/>
  <c r="E1701" i="1"/>
  <c r="E854" i="1"/>
  <c r="F871" i="1" s="1"/>
  <c r="F859" i="1"/>
  <c r="F883" i="1"/>
  <c r="F929" i="1"/>
  <c r="F941" i="1"/>
  <c r="F953" i="1"/>
  <c r="F958" i="1"/>
  <c r="F963" i="1"/>
  <c r="F873" i="1"/>
  <c r="F885" i="1"/>
  <c r="F897" i="1"/>
  <c r="F907" i="1"/>
  <c r="F919" i="1"/>
  <c r="F931" i="1"/>
  <c r="F943" i="1"/>
  <c r="F965" i="1"/>
  <c r="E1174" i="1"/>
  <c r="F868" i="1"/>
  <c r="F880" i="1"/>
  <c r="F892" i="1"/>
  <c r="F902" i="1"/>
  <c r="F914" i="1"/>
  <c r="F926" i="1"/>
  <c r="F938" i="1"/>
  <c r="F960" i="1"/>
  <c r="F863" i="1"/>
  <c r="F875" i="1"/>
  <c r="F887" i="1"/>
  <c r="F899" i="1"/>
  <c r="F909" i="1"/>
  <c r="F921" i="1"/>
  <c r="F933" i="1"/>
  <c r="F945" i="1"/>
  <c r="F957" i="1"/>
  <c r="E1636" i="1"/>
  <c r="E1146" i="1"/>
  <c r="E1615" i="1"/>
  <c r="M1491" i="1"/>
  <c r="L1491" i="1"/>
  <c r="F1602" i="1"/>
  <c r="E1621" i="1"/>
  <c r="F1607" i="1"/>
  <c r="F1598" i="1"/>
  <c r="F1603" i="1"/>
  <c r="F1605" i="1"/>
  <c r="F1612" i="1"/>
  <c r="F1609" i="1"/>
  <c r="F1606" i="1"/>
  <c r="F1608" i="1"/>
  <c r="F1600" i="1"/>
  <c r="F1614" i="1"/>
  <c r="F1613" i="1"/>
  <c r="C1832" i="1"/>
  <c r="D1833" i="1"/>
  <c r="E1721" i="1"/>
  <c r="E1815" i="1"/>
  <c r="C1830" i="1"/>
  <c r="C1831" i="1"/>
  <c r="F2045" i="1"/>
  <c r="F2150" i="1"/>
  <c r="F2144" i="1"/>
  <c r="F2138" i="1"/>
  <c r="F2078" i="1"/>
  <c r="F2177" i="1"/>
  <c r="F2173" i="1"/>
  <c r="F2115" i="1"/>
  <c r="F2109" i="1"/>
  <c r="F2103" i="1"/>
  <c r="F2153" i="1"/>
  <c r="F2147" i="1"/>
  <c r="F2141" i="1"/>
  <c r="F2081" i="1"/>
  <c r="F2191" i="1"/>
  <c r="F2188" i="1"/>
  <c r="F2142" i="1"/>
  <c r="F2136" i="1"/>
  <c r="F2130" i="1"/>
  <c r="F2164" i="1"/>
  <c r="F2161" i="1"/>
  <c r="F2158" i="1"/>
  <c r="F2128" i="1"/>
  <c r="F2125" i="1"/>
  <c r="F2122" i="1"/>
  <c r="F2095" i="1"/>
  <c r="F2092" i="1"/>
  <c r="F2089" i="1"/>
  <c r="F2086" i="1"/>
  <c r="F2184" i="1"/>
  <c r="F2077" i="1"/>
  <c r="F2071" i="1"/>
  <c r="F2000" i="1"/>
  <c r="F1994" i="1"/>
  <c r="F1988" i="1"/>
  <c r="F2022" i="1"/>
  <c r="F2010" i="1"/>
  <c r="F2002" i="1"/>
  <c r="F2030" i="1"/>
  <c r="F2018" i="1"/>
  <c r="F2060" i="1"/>
  <c r="F2043" i="1"/>
  <c r="E1951" i="1"/>
  <c r="F2180" i="1" s="1"/>
  <c r="F2054" i="1"/>
  <c r="F2038" i="1"/>
  <c r="F2035" i="1"/>
  <c r="F1998" i="1"/>
  <c r="F1977" i="1"/>
  <c r="F1974" i="1"/>
  <c r="F2056" i="1"/>
  <c r="F1981" i="1"/>
  <c r="F2174" i="1"/>
  <c r="F2067" i="1"/>
  <c r="F2063" i="1"/>
  <c r="F2059" i="1"/>
  <c r="F2057" i="1"/>
  <c r="F2051" i="1"/>
  <c r="F2044" i="1"/>
  <c r="F1950" i="1"/>
  <c r="F2004" i="1"/>
  <c r="F2014" i="1"/>
  <c r="F2053" i="1"/>
  <c r="F1962" i="1"/>
  <c r="C2195" i="1"/>
  <c r="D2196" i="1"/>
  <c r="E1816" i="1" l="1"/>
  <c r="F2087" i="1"/>
  <c r="F1967" i="1"/>
  <c r="F2061" i="1"/>
  <c r="F1992" i="1"/>
  <c r="F2001" i="1"/>
  <c r="F1955" i="1"/>
  <c r="F2042" i="1"/>
  <c r="F2049" i="1"/>
  <c r="F2021" i="1"/>
  <c r="F2052" i="1"/>
  <c r="F2098" i="1"/>
  <c r="F2134" i="1"/>
  <c r="F2082" i="1"/>
  <c r="F2154" i="1"/>
  <c r="F2093" i="1"/>
  <c r="F2165" i="1"/>
  <c r="F2127" i="1"/>
  <c r="F2090" i="1"/>
  <c r="F2162" i="1"/>
  <c r="E1147" i="1"/>
  <c r="F1146" i="1"/>
  <c r="E1635" i="1"/>
  <c r="F2008" i="1"/>
  <c r="F2176" i="1"/>
  <c r="F2058" i="1"/>
  <c r="F2137" i="1"/>
  <c r="F2088" i="1"/>
  <c r="F2160" i="1"/>
  <c r="F2099" i="1"/>
  <c r="F2187" i="1"/>
  <c r="F2133" i="1"/>
  <c r="F2096" i="1"/>
  <c r="F2168" i="1"/>
  <c r="D1834" i="1"/>
  <c r="C1833" i="1"/>
  <c r="F2121" i="1"/>
  <c r="C2196" i="1"/>
  <c r="D2197" i="1"/>
  <c r="F2075" i="1"/>
  <c r="F1960" i="1"/>
  <c r="F2033" i="1"/>
  <c r="F2101" i="1"/>
  <c r="F2065" i="1"/>
  <c r="F2039" i="1"/>
  <c r="F2041" i="1"/>
  <c r="F1979" i="1"/>
  <c r="F1966" i="1"/>
  <c r="F1952" i="1"/>
  <c r="F2069" i="1"/>
  <c r="F2064" i="1"/>
  <c r="F2104" i="1"/>
  <c r="F2140" i="1"/>
  <c r="F2094" i="1"/>
  <c r="F2166" i="1"/>
  <c r="F2105" i="1"/>
  <c r="F2190" i="1"/>
  <c r="F2139" i="1"/>
  <c r="F2102" i="1"/>
  <c r="F1975" i="1"/>
  <c r="F1956" i="1"/>
  <c r="F1954" i="1"/>
  <c r="F2012" i="1"/>
  <c r="F1986" i="1"/>
  <c r="F1965" i="1"/>
  <c r="F1989" i="1"/>
  <c r="F2066" i="1"/>
  <c r="F2015" i="1"/>
  <c r="F1991" i="1"/>
  <c r="F1963" i="1"/>
  <c r="F2029" i="1"/>
  <c r="F2013" i="1"/>
  <c r="F2017" i="1"/>
  <c r="F2005" i="1"/>
  <c r="H1951" i="1"/>
  <c r="F1995" i="1"/>
  <c r="F1951" i="1"/>
  <c r="F1953" i="1"/>
  <c r="F1985" i="1"/>
  <c r="F2062" i="1"/>
  <c r="F2023" i="1"/>
  <c r="F2020" i="1"/>
  <c r="F2036" i="1"/>
  <c r="F1997" i="1"/>
  <c r="F1980" i="1"/>
  <c r="F1999" i="1"/>
  <c r="F1987" i="1"/>
  <c r="F1959" i="1"/>
  <c r="F2148" i="1"/>
  <c r="F1969" i="1"/>
  <c r="F2025" i="1"/>
  <c r="F2181" i="1"/>
  <c r="F2073" i="1"/>
  <c r="F2047" i="1"/>
  <c r="F1993" i="1"/>
  <c r="F1972" i="1"/>
  <c r="F1958" i="1"/>
  <c r="F2074" i="1"/>
  <c r="F2070" i="1"/>
  <c r="F2107" i="1"/>
  <c r="F2143" i="1"/>
  <c r="F2100" i="1"/>
  <c r="F2171" i="1"/>
  <c r="F2111" i="1"/>
  <c r="F2193" i="1"/>
  <c r="F2145" i="1"/>
  <c r="F2108" i="1"/>
  <c r="F2183" i="1"/>
  <c r="F2167" i="1"/>
  <c r="F2026" i="1"/>
  <c r="F1971" i="1"/>
  <c r="F1973" i="1"/>
  <c r="F2028" i="1"/>
  <c r="F2050" i="1"/>
  <c r="F2003" i="1"/>
  <c r="F1978" i="1"/>
  <c r="F1964" i="1"/>
  <c r="F2007" i="1"/>
  <c r="F2076" i="1"/>
  <c r="F2110" i="1"/>
  <c r="F2146" i="1"/>
  <c r="F2106" i="1"/>
  <c r="F2175" i="1"/>
  <c r="F2117" i="1"/>
  <c r="F2079" i="1"/>
  <c r="F2151" i="1"/>
  <c r="F2114" i="1"/>
  <c r="F2186" i="1"/>
  <c r="F2009" i="1"/>
  <c r="F2156" i="1"/>
  <c r="F2011" i="1"/>
  <c r="F1970" i="1"/>
  <c r="F2112" i="1"/>
  <c r="F2120" i="1"/>
  <c r="E1616" i="1"/>
  <c r="F2046" i="1"/>
  <c r="F2084" i="1"/>
  <c r="F2032" i="1"/>
  <c r="F2170" i="1"/>
  <c r="F2123" i="1"/>
  <c r="F1961" i="1"/>
  <c r="F1957" i="1"/>
  <c r="F2172" i="1"/>
  <c r="F2037" i="1"/>
  <c r="F1990" i="1"/>
  <c r="F1976" i="1"/>
  <c r="F2178" i="1"/>
  <c r="F2080" i="1"/>
  <c r="F2116" i="1"/>
  <c r="F2152" i="1"/>
  <c r="F2118" i="1"/>
  <c r="F2182" i="1"/>
  <c r="F2129" i="1"/>
  <c r="F2091" i="1"/>
  <c r="F2163" i="1"/>
  <c r="F2126" i="1"/>
  <c r="F2192" i="1"/>
  <c r="F1615" i="1"/>
  <c r="C2170" i="1"/>
  <c r="B2171" i="1"/>
  <c r="J363" i="1"/>
  <c r="L363" i="1" s="1"/>
  <c r="M363" i="1" s="1"/>
  <c r="L362" i="1"/>
  <c r="M362" i="1" s="1"/>
  <c r="C1918" i="1"/>
  <c r="D1919" i="1"/>
  <c r="F2034" i="1"/>
  <c r="F2131" i="1"/>
  <c r="F2159" i="1"/>
  <c r="F2048" i="1"/>
  <c r="F2068" i="1"/>
  <c r="F1984" i="1"/>
  <c r="F2072" i="1"/>
  <c r="F2113" i="1"/>
  <c r="F2149" i="1"/>
  <c r="F2179" i="1"/>
  <c r="F2085" i="1"/>
  <c r="F2157" i="1"/>
  <c r="F2189" i="1"/>
  <c r="F2055" i="1"/>
  <c r="F2016" i="1"/>
  <c r="F2019" i="1"/>
  <c r="F1983" i="1"/>
  <c r="F2024" i="1"/>
  <c r="F2031" i="1"/>
  <c r="F1968" i="1"/>
  <c r="F2027" i="1"/>
  <c r="F2040" i="1"/>
  <c r="F1996" i="1"/>
  <c r="F1982" i="1"/>
  <c r="F2006" i="1"/>
  <c r="F2083" i="1"/>
  <c r="F2119" i="1"/>
  <c r="F2155" i="1"/>
  <c r="F2124" i="1"/>
  <c r="F2185" i="1"/>
  <c r="F2135" i="1"/>
  <c r="F2097" i="1"/>
  <c r="F2169" i="1"/>
  <c r="F2132" i="1"/>
  <c r="F917" i="1"/>
  <c r="F922" i="1"/>
  <c r="L370" i="1"/>
  <c r="M370" i="1" s="1"/>
  <c r="J371" i="1"/>
  <c r="F905" i="1"/>
  <c r="F910" i="1"/>
  <c r="E971" i="1"/>
  <c r="F950" i="1"/>
  <c r="F955" i="1"/>
  <c r="F895" i="1"/>
  <c r="F900" i="1"/>
  <c r="J330" i="1"/>
  <c r="L329" i="1"/>
  <c r="M329" i="1" s="1"/>
  <c r="F970" i="1"/>
  <c r="F967" i="1"/>
  <c r="F962" i="1"/>
  <c r="F952" i="1"/>
  <c r="F940" i="1"/>
  <c r="F928" i="1"/>
  <c r="F916" i="1"/>
  <c r="F904" i="1"/>
  <c r="F894" i="1"/>
  <c r="F882" i="1"/>
  <c r="F870" i="1"/>
  <c r="F858" i="1"/>
  <c r="F856" i="1"/>
  <c r="F861" i="1"/>
  <c r="F971" i="1"/>
  <c r="F968" i="1"/>
  <c r="F948" i="1"/>
  <c r="F936" i="1"/>
  <c r="F924" i="1"/>
  <c r="F912" i="1"/>
  <c r="F890" i="1"/>
  <c r="F878" i="1"/>
  <c r="F866" i="1"/>
  <c r="F854" i="1"/>
  <c r="F876" i="1"/>
  <c r="F864" i="1"/>
  <c r="F930" i="1"/>
  <c r="F889" i="1"/>
  <c r="F881" i="1"/>
  <c r="F935" i="1"/>
  <c r="F927" i="1"/>
  <c r="F886" i="1"/>
  <c r="F932" i="1"/>
  <c r="F891" i="1"/>
  <c r="F855" i="1"/>
  <c r="F937" i="1"/>
  <c r="F901" i="1"/>
  <c r="F896" i="1"/>
  <c r="F860" i="1"/>
  <c r="F942" i="1"/>
  <c r="F906" i="1"/>
  <c r="F893" i="1"/>
  <c r="F865" i="1"/>
  <c r="F857" i="1"/>
  <c r="F947" i="1"/>
  <c r="F939" i="1"/>
  <c r="F911" i="1"/>
  <c r="F903" i="1"/>
  <c r="F898" i="1"/>
  <c r="F862" i="1"/>
  <c r="F959" i="1"/>
  <c r="F944" i="1"/>
  <c r="F908" i="1"/>
  <c r="F867" i="1"/>
  <c r="F923" i="1"/>
  <c r="F874" i="1"/>
  <c r="F949" i="1"/>
  <c r="F913" i="1"/>
  <c r="F884" i="1"/>
  <c r="F877" i="1"/>
  <c r="F954" i="1"/>
  <c r="F969" i="1"/>
  <c r="F961" i="1"/>
  <c r="F869" i="1"/>
  <c r="F966" i="1"/>
  <c r="F964" i="1"/>
  <c r="F918" i="1"/>
  <c r="F872" i="1"/>
  <c r="F951" i="1"/>
  <c r="F925" i="1"/>
  <c r="F915" i="1"/>
  <c r="F879" i="1"/>
  <c r="F956" i="1"/>
  <c r="F920" i="1"/>
  <c r="E1220" i="1"/>
  <c r="J393" i="1"/>
  <c r="L392" i="1"/>
  <c r="M392" i="1" s="1"/>
  <c r="E1175" i="1"/>
  <c r="E1298" i="1"/>
  <c r="L387" i="1"/>
  <c r="M387" i="1" s="1"/>
  <c r="J388" i="1"/>
  <c r="L388" i="1" s="1"/>
  <c r="M388" i="1" s="1"/>
  <c r="J331" i="1" l="1"/>
  <c r="L330" i="1"/>
  <c r="M330" i="1" s="1"/>
  <c r="E972" i="1"/>
  <c r="F1067" i="1" s="1"/>
  <c r="F1089" i="1"/>
  <c r="F1049" i="1"/>
  <c r="F1034" i="1"/>
  <c r="F1047" i="1"/>
  <c r="F1006" i="1"/>
  <c r="F1010" i="1"/>
  <c r="F1073" i="1"/>
  <c r="F1016" i="1"/>
  <c r="F1053" i="1"/>
  <c r="F1075" i="1"/>
  <c r="F978" i="1"/>
  <c r="F1040" i="1"/>
  <c r="F982" i="1"/>
  <c r="F994" i="1"/>
  <c r="F1012" i="1"/>
  <c r="F1000" i="1"/>
  <c r="F1043" i="1"/>
  <c r="F974" i="1"/>
  <c r="D1920" i="1"/>
  <c r="C1919" i="1"/>
  <c r="F1291" i="1"/>
  <c r="F1147" i="1"/>
  <c r="F1304" i="1"/>
  <c r="J372" i="1"/>
  <c r="L371" i="1"/>
  <c r="M371" i="1" s="1"/>
  <c r="E1617" i="1"/>
  <c r="C2197" i="1"/>
  <c r="D2198" i="1"/>
  <c r="F1247" i="1"/>
  <c r="F1333" i="1"/>
  <c r="F1624" i="1"/>
  <c r="F1203" i="1"/>
  <c r="D1835" i="1"/>
  <c r="C1834" i="1"/>
  <c r="B2172" i="1"/>
  <c r="C2171" i="1"/>
  <c r="F1376" i="1"/>
  <c r="F1312" i="1"/>
  <c r="F1281" i="1"/>
  <c r="F975" i="1"/>
  <c r="F983" i="1"/>
  <c r="F1417" i="1"/>
  <c r="F1245" i="1"/>
  <c r="E1148" i="1"/>
  <c r="F1328" i="1" s="1"/>
  <c r="F1386" i="1"/>
  <c r="F1151" i="1"/>
  <c r="F1313" i="1"/>
  <c r="F1425" i="1"/>
  <c r="F1357" i="1"/>
  <c r="F1460" i="1"/>
  <c r="F1407" i="1"/>
  <c r="F1292" i="1"/>
  <c r="F1325" i="1"/>
  <c r="F1411" i="1"/>
  <c r="F1206" i="1"/>
  <c r="F1282" i="1"/>
  <c r="F1406" i="1"/>
  <c r="F1428" i="1"/>
  <c r="F1412" i="1"/>
  <c r="F1427" i="1"/>
  <c r="F1212" i="1"/>
  <c r="E1176" i="1"/>
  <c r="L393" i="1"/>
  <c r="M393" i="1" s="1"/>
  <c r="J394" i="1"/>
  <c r="F1054" i="1"/>
  <c r="F995" i="1"/>
  <c r="F1096" i="1"/>
  <c r="F1062" i="1"/>
  <c r="F1438" i="1"/>
  <c r="F1616" i="1"/>
  <c r="E1634" i="1"/>
  <c r="F1314" i="1"/>
  <c r="F1160" i="1"/>
  <c r="J395" i="1" l="1"/>
  <c r="L394" i="1"/>
  <c r="M394" i="1" s="1"/>
  <c r="F1360" i="1"/>
  <c r="F1416" i="1"/>
  <c r="F1319" i="1"/>
  <c r="F1256" i="1"/>
  <c r="F1618" i="1"/>
  <c r="F1236" i="1"/>
  <c r="F1019" i="1"/>
  <c r="F1459" i="1"/>
  <c r="F1351" i="1"/>
  <c r="F1214" i="1"/>
  <c r="F1243" i="1"/>
  <c r="F1347" i="1"/>
  <c r="F1410" i="1"/>
  <c r="F1279" i="1"/>
  <c r="F1155" i="1"/>
  <c r="F1456" i="1"/>
  <c r="F1414" i="1"/>
  <c r="F1175" i="1"/>
  <c r="F1443" i="1"/>
  <c r="F1358" i="1"/>
  <c r="F1748" i="1"/>
  <c r="F1269" i="1"/>
  <c r="F1188" i="1"/>
  <c r="F1343" i="1"/>
  <c r="F1205" i="1"/>
  <c r="F1157" i="1"/>
  <c r="F1338" i="1"/>
  <c r="F1445" i="1"/>
  <c r="F1727" i="1"/>
  <c r="F1077" i="1"/>
  <c r="F1024" i="1"/>
  <c r="F1050" i="1"/>
  <c r="F1045" i="1"/>
  <c r="F990" i="1"/>
  <c r="F1014" i="1"/>
  <c r="F1420" i="1"/>
  <c r="F1296" i="1"/>
  <c r="F1272" i="1"/>
  <c r="F1174" i="1"/>
  <c r="F1289" i="1"/>
  <c r="F1804" i="1"/>
  <c r="F1290" i="1"/>
  <c r="F1037" i="1"/>
  <c r="F1381" i="1"/>
  <c r="F1218" i="1"/>
  <c r="F1091" i="1"/>
  <c r="F1042" i="1"/>
  <c r="F1802" i="1"/>
  <c r="F1167" i="1"/>
  <c r="F1337" i="1"/>
  <c r="F1415" i="1"/>
  <c r="F1422" i="1"/>
  <c r="F1204" i="1"/>
  <c r="F1373" i="1"/>
  <c r="F1229" i="1"/>
  <c r="F1401" i="1"/>
  <c r="F1301" i="1"/>
  <c r="F1168" i="1"/>
  <c r="F1405" i="1"/>
  <c r="F1397" i="1"/>
  <c r="F1310" i="1"/>
  <c r="F1627" i="1"/>
  <c r="F1094" i="1"/>
  <c r="F1368" i="1"/>
  <c r="F1330" i="1"/>
  <c r="F1392" i="1"/>
  <c r="F1189" i="1"/>
  <c r="F1250" i="1"/>
  <c r="F1059" i="1"/>
  <c r="F984" i="1"/>
  <c r="F992" i="1"/>
  <c r="F1086" i="1"/>
  <c r="F1076" i="1"/>
  <c r="F1090" i="1"/>
  <c r="F1454" i="1"/>
  <c r="F1274" i="1"/>
  <c r="C1835" i="1"/>
  <c r="D1836" i="1"/>
  <c r="F1458" i="1"/>
  <c r="F1708" i="1"/>
  <c r="F1631" i="1"/>
  <c r="F1686" i="1"/>
  <c r="F1630" i="1"/>
  <c r="F1623" i="1"/>
  <c r="F1781" i="1"/>
  <c r="F1619" i="1"/>
  <c r="F1633" i="1"/>
  <c r="F1788" i="1"/>
  <c r="F1629" i="1"/>
  <c r="F1769" i="1"/>
  <c r="F1202" i="1"/>
  <c r="C2172" i="1"/>
  <c r="B2173" i="1"/>
  <c r="F1377" i="1"/>
  <c r="F1404" i="1"/>
  <c r="F1628" i="1"/>
  <c r="F1433" i="1"/>
  <c r="F1220" i="1"/>
  <c r="F1066" i="1"/>
  <c r="F1285" i="1"/>
  <c r="F1270" i="1"/>
  <c r="F1172" i="1"/>
  <c r="F1244" i="1"/>
  <c r="F1367" i="1"/>
  <c r="F1159" i="1"/>
  <c r="F1297" i="1"/>
  <c r="F1323" i="1"/>
  <c r="F1371" i="1"/>
  <c r="F1344" i="1"/>
  <c r="F1387" i="1"/>
  <c r="F1378" i="1"/>
  <c r="F1267" i="1"/>
  <c r="F1620" i="1"/>
  <c r="F1255" i="1"/>
  <c r="F1211" i="1"/>
  <c r="F1419" i="1"/>
  <c r="F1320" i="1"/>
  <c r="F976" i="1"/>
  <c r="F1271" i="1"/>
  <c r="F1341" i="1"/>
  <c r="F1632" i="1"/>
  <c r="F1194" i="1"/>
  <c r="F1432" i="1"/>
  <c r="L372" i="1"/>
  <c r="M372" i="1" s="1"/>
  <c r="J373" i="1"/>
  <c r="F1385" i="1"/>
  <c r="F1191" i="1"/>
  <c r="F1032" i="1"/>
  <c r="F1061" i="1"/>
  <c r="F1041" i="1"/>
  <c r="F1020" i="1"/>
  <c r="F1008" i="1"/>
  <c r="F1004" i="1"/>
  <c r="F1369" i="1"/>
  <c r="F1441" i="1"/>
  <c r="F1148" i="1"/>
  <c r="F1429" i="1"/>
  <c r="F1300" i="1"/>
  <c r="F1199" i="1"/>
  <c r="F1447" i="1"/>
  <c r="F1176" i="1"/>
  <c r="F1318" i="1"/>
  <c r="F1238" i="1"/>
  <c r="F1442" i="1"/>
  <c r="F1228" i="1"/>
  <c r="F1224" i="1"/>
  <c r="F1768" i="1"/>
  <c r="F1084" i="1"/>
  <c r="F1060" i="1"/>
  <c r="F1048" i="1"/>
  <c r="F973" i="1"/>
  <c r="F1063" i="1"/>
  <c r="F1046" i="1"/>
  <c r="F1361" i="1"/>
  <c r="F1395" i="1"/>
  <c r="F1307" i="1"/>
  <c r="F1800" i="1"/>
  <c r="F1450" i="1"/>
  <c r="F1080" i="1"/>
  <c r="F1069" i="1"/>
  <c r="F1068" i="1"/>
  <c r="F1303" i="1"/>
  <c r="F1435" i="1"/>
  <c r="F1430" i="1"/>
  <c r="F1164" i="1"/>
  <c r="E1633" i="1"/>
  <c r="F1638" i="1" s="1"/>
  <c r="F1230" i="1"/>
  <c r="F1056" i="1"/>
  <c r="F1354" i="1"/>
  <c r="F1453" i="1"/>
  <c r="F1335" i="1"/>
  <c r="F1180" i="1"/>
  <c r="F1225" i="1"/>
  <c r="F1305" i="1"/>
  <c r="F1150" i="1"/>
  <c r="F1200" i="1"/>
  <c r="F1349" i="1"/>
  <c r="F1158" i="1"/>
  <c r="F1219" i="1"/>
  <c r="F1342" i="1"/>
  <c r="F1149" i="1"/>
  <c r="F1391" i="1"/>
  <c r="F1210" i="1"/>
  <c r="F1231" i="1"/>
  <c r="F1403" i="1"/>
  <c r="F1286" i="1"/>
  <c r="F1263" i="1"/>
  <c r="F1284" i="1"/>
  <c r="F1426" i="1"/>
  <c r="F1029" i="1"/>
  <c r="F1036" i="1"/>
  <c r="F1097" i="1"/>
  <c r="F998" i="1"/>
  <c r="F1022" i="1"/>
  <c r="F988" i="1"/>
  <c r="F1355" i="1"/>
  <c r="F1334" i="1"/>
  <c r="F1166" i="1"/>
  <c r="F1424" i="1"/>
  <c r="F1242" i="1"/>
  <c r="F1058" i="1"/>
  <c r="F1249" i="1"/>
  <c r="F1375" i="1"/>
  <c r="F1364" i="1"/>
  <c r="F1055" i="1"/>
  <c r="F1359" i="1"/>
  <c r="F1402" i="1"/>
  <c r="F1227" i="1"/>
  <c r="F1332" i="1"/>
  <c r="F1388" i="1"/>
  <c r="F1449" i="1"/>
  <c r="F1329" i="1"/>
  <c r="F1215" i="1"/>
  <c r="F1299" i="1"/>
  <c r="F1216" i="1"/>
  <c r="F1336" i="1"/>
  <c r="F1331" i="1"/>
  <c r="F1346" i="1"/>
  <c r="F1814" i="1"/>
  <c r="F1057" i="1"/>
  <c r="F1248" i="1"/>
  <c r="F1382" i="1"/>
  <c r="F1260" i="1"/>
  <c r="F1352" i="1"/>
  <c r="F1154" i="1"/>
  <c r="C2198" i="1"/>
  <c r="D2199" i="1"/>
  <c r="F1762" i="1"/>
  <c r="F1261" i="1"/>
  <c r="F1339" i="1"/>
  <c r="F1322" i="1"/>
  <c r="C1920" i="1"/>
  <c r="D1921" i="1"/>
  <c r="F1071" i="1"/>
  <c r="F1052" i="1"/>
  <c r="F1083" i="1"/>
  <c r="F1064" i="1"/>
  <c r="F1088" i="1"/>
  <c r="F1026" i="1"/>
  <c r="L331" i="1"/>
  <c r="M331" i="1" s="1"/>
  <c r="J332" i="1"/>
  <c r="F1226" i="1"/>
  <c r="F1193" i="1"/>
  <c r="F1287" i="1"/>
  <c r="F1356" i="1"/>
  <c r="F1398" i="1"/>
  <c r="F1418" i="1"/>
  <c r="F1370" i="1"/>
  <c r="F1340" i="1"/>
  <c r="F1288" i="1"/>
  <c r="F1262" i="1"/>
  <c r="F1350" i="1"/>
  <c r="F1372" i="1"/>
  <c r="F1278" i="1"/>
  <c r="F1448" i="1"/>
  <c r="F1306" i="1"/>
  <c r="F1254" i="1"/>
  <c r="F1162" i="1"/>
  <c r="F1444" i="1"/>
  <c r="F1400" i="1"/>
  <c r="F1217" i="1"/>
  <c r="F1294" i="1"/>
  <c r="F1409" i="1"/>
  <c r="F1185" i="1"/>
  <c r="F1264" i="1"/>
  <c r="F1434" i="1"/>
  <c r="F1311" i="1"/>
  <c r="F1196" i="1"/>
  <c r="F1408" i="1"/>
  <c r="F1198" i="1"/>
  <c r="F1195" i="1"/>
  <c r="F1317" i="1"/>
  <c r="F1446" i="1"/>
  <c r="F1163" i="1"/>
  <c r="F1169" i="1"/>
  <c r="F1222" i="1"/>
  <c r="F1184" i="1"/>
  <c r="F1413" i="1"/>
  <c r="F1277" i="1"/>
  <c r="F1295" i="1"/>
  <c r="F1298" i="1"/>
  <c r="F1293" i="1"/>
  <c r="F1173" i="1"/>
  <c r="F1221" i="1"/>
  <c r="F1383" i="1"/>
  <c r="F1201" i="1"/>
  <c r="F1209" i="1"/>
  <c r="F1181" i="1"/>
  <c r="F1251" i="1"/>
  <c r="F1324" i="1"/>
  <c r="F1389" i="1"/>
  <c r="F1439" i="1"/>
  <c r="F1186" i="1"/>
  <c r="F1165" i="1"/>
  <c r="F1207" i="1"/>
  <c r="F1239" i="1"/>
  <c r="F1183" i="1"/>
  <c r="F1365" i="1"/>
  <c r="F1178" i="1"/>
  <c r="F1393" i="1"/>
  <c r="F1353" i="1"/>
  <c r="F1240" i="1"/>
  <c r="F1268" i="1"/>
  <c r="F1436" i="1"/>
  <c r="F1079" i="1"/>
  <c r="F1179" i="1"/>
  <c r="F1275" i="1"/>
  <c r="F1039" i="1"/>
  <c r="F1399" i="1"/>
  <c r="F1241" i="1"/>
  <c r="F1266" i="1"/>
  <c r="F1384" i="1"/>
  <c r="F1187" i="1"/>
  <c r="F1421" i="1"/>
  <c r="F1451" i="1"/>
  <c r="F1257" i="1"/>
  <c r="F1437" i="1"/>
  <c r="F1213" i="1"/>
  <c r="F1622" i="1"/>
  <c r="F1321" i="1"/>
  <c r="F1233" i="1"/>
  <c r="F1366" i="1"/>
  <c r="F1621" i="1"/>
  <c r="F1308" i="1"/>
  <c r="F1326" i="1"/>
  <c r="F1626" i="1"/>
  <c r="F1190" i="1"/>
  <c r="F1316" i="1"/>
  <c r="F1258" i="1"/>
  <c r="F1671" i="1"/>
  <c r="F1379" i="1"/>
  <c r="F1030" i="1"/>
  <c r="F1070" i="1"/>
  <c r="F1028" i="1"/>
  <c r="F1085" i="1"/>
  <c r="F1002" i="1"/>
  <c r="F1283" i="1"/>
  <c r="F1208" i="1"/>
  <c r="F1457" i="1"/>
  <c r="F1182" i="1"/>
  <c r="F1348" i="1"/>
  <c r="F1232" i="1"/>
  <c r="F1705" i="1"/>
  <c r="F1259" i="1"/>
  <c r="F972" i="1"/>
  <c r="F1035" i="1"/>
  <c r="F1017" i="1"/>
  <c r="F1015" i="1"/>
  <c r="F1005" i="1"/>
  <c r="F985" i="1"/>
  <c r="F979" i="1"/>
  <c r="F991" i="1"/>
  <c r="F1092" i="1"/>
  <c r="F1033" i="1"/>
  <c r="F1023" i="1"/>
  <c r="F1007" i="1"/>
  <c r="F1013" i="1"/>
  <c r="F999" i="1"/>
  <c r="F1003" i="1"/>
  <c r="F1031" i="1"/>
  <c r="F1011" i="1"/>
  <c r="F1093" i="1"/>
  <c r="F997" i="1"/>
  <c r="F981" i="1"/>
  <c r="F1051" i="1"/>
  <c r="F1018" i="1"/>
  <c r="F986" i="1"/>
  <c r="F1009" i="1"/>
  <c r="F1027" i="1"/>
  <c r="F1021" i="1"/>
  <c r="F1001" i="1"/>
  <c r="F989" i="1"/>
  <c r="F1095" i="1"/>
  <c r="F1078" i="1"/>
  <c r="F993" i="1"/>
  <c r="F987" i="1"/>
  <c r="F1082" i="1"/>
  <c r="F1025" i="1"/>
  <c r="F1065" i="1"/>
  <c r="F1044" i="1"/>
  <c r="F1452" i="1"/>
  <c r="F1461" i="1"/>
  <c r="F1455" i="1"/>
  <c r="F1170" i="1"/>
  <c r="F1081" i="1"/>
  <c r="F1265" i="1"/>
  <c r="F1431" i="1"/>
  <c r="F1234" i="1"/>
  <c r="F1152" i="1"/>
  <c r="F1315" i="1"/>
  <c r="F1177" i="1"/>
  <c r="F1302" i="1"/>
  <c r="F1394" i="1"/>
  <c r="F1273" i="1"/>
  <c r="F1440" i="1"/>
  <c r="F1617" i="1"/>
  <c r="F1171" i="1"/>
  <c r="F1161" i="1"/>
  <c r="F1823" i="1"/>
  <c r="F1252" i="1"/>
  <c r="F1280" i="1"/>
  <c r="F977" i="1"/>
  <c r="F1192" i="1"/>
  <c r="F1390" i="1"/>
  <c r="F1462" i="1"/>
  <c r="F1246" i="1"/>
  <c r="F1380" i="1"/>
  <c r="F1345" i="1"/>
  <c r="F1423" i="1"/>
  <c r="F1363" i="1"/>
  <c r="F1153" i="1"/>
  <c r="F1276" i="1"/>
  <c r="F1309" i="1"/>
  <c r="F1197" i="1"/>
  <c r="F1223" i="1"/>
  <c r="F1374" i="1"/>
  <c r="F1698" i="1"/>
  <c r="F1362" i="1"/>
  <c r="F1625" i="1"/>
  <c r="F1327" i="1"/>
  <c r="F1235" i="1"/>
  <c r="F1156" i="1"/>
  <c r="F1253" i="1"/>
  <c r="F1720" i="1"/>
  <c r="F1237" i="1"/>
  <c r="F1396" i="1"/>
  <c r="F1072" i="1"/>
  <c r="F1038" i="1"/>
  <c r="F980" i="1"/>
  <c r="F1074" i="1"/>
  <c r="F1087" i="1"/>
  <c r="F996" i="1"/>
  <c r="D2200" i="1" l="1"/>
  <c r="C2199" i="1"/>
  <c r="F1755" i="1"/>
  <c r="F1658" i="1"/>
  <c r="F1640" i="1"/>
  <c r="F1820" i="1"/>
  <c r="F1650" i="1"/>
  <c r="F1733" i="1"/>
  <c r="F1751" i="1"/>
  <c r="F1726" i="1"/>
  <c r="F1709" i="1"/>
  <c r="F1728" i="1"/>
  <c r="F1725" i="1"/>
  <c r="F1796" i="1"/>
  <c r="F1707" i="1"/>
  <c r="F1806" i="1"/>
  <c r="F1718" i="1"/>
  <c r="F1716" i="1"/>
  <c r="F1639" i="1"/>
  <c r="F1808" i="1"/>
  <c r="F1691" i="1"/>
  <c r="F1665" i="1"/>
  <c r="F1651" i="1"/>
  <c r="F1642" i="1"/>
  <c r="F1792" i="1"/>
  <c r="F1818" i="1"/>
  <c r="F1817" i="1"/>
  <c r="F1715" i="1"/>
  <c r="F1723" i="1"/>
  <c r="F1684" i="1"/>
  <c r="F1771" i="1"/>
  <c r="F1789" i="1"/>
  <c r="F1719" i="1"/>
  <c r="F1801" i="1"/>
  <c r="F1785" i="1"/>
  <c r="F1674" i="1"/>
  <c r="F1742" i="1"/>
  <c r="F1637" i="1"/>
  <c r="F1770" i="1"/>
  <c r="F1646" i="1"/>
  <c r="F1747" i="1"/>
  <c r="F1822" i="1"/>
  <c r="F1798" i="1"/>
  <c r="F1790" i="1"/>
  <c r="F1740" i="1"/>
  <c r="F1701" i="1"/>
  <c r="F1812" i="1"/>
  <c r="F1667" i="1"/>
  <c r="F1766" i="1"/>
  <c r="F1641" i="1"/>
  <c r="F1779" i="1"/>
  <c r="F1688" i="1"/>
  <c r="F1657" i="1"/>
  <c r="F1731" i="1"/>
  <c r="F1775" i="1"/>
  <c r="F1824" i="1"/>
  <c r="F1746" i="1"/>
  <c r="F1773" i="1"/>
  <c r="F1664" i="1"/>
  <c r="F1672" i="1"/>
  <c r="F1685" i="1"/>
  <c r="F1761" i="1"/>
  <c r="F1743" i="1"/>
  <c r="F1689" i="1"/>
  <c r="F1659" i="1"/>
  <c r="F1736" i="1"/>
  <c r="F1695" i="1"/>
  <c r="F1696" i="1"/>
  <c r="F1681" i="1"/>
  <c r="F1722" i="1"/>
  <c r="F1706" i="1"/>
  <c r="F1677" i="1"/>
  <c r="F1797" i="1"/>
  <c r="F1807" i="1"/>
  <c r="F1813" i="1"/>
  <c r="F1738" i="1"/>
  <c r="F1828" i="1"/>
  <c r="C1836" i="1"/>
  <c r="D1837" i="1"/>
  <c r="F1819" i="1"/>
  <c r="F1816" i="1"/>
  <c r="F1782" i="1"/>
  <c r="J333" i="1"/>
  <c r="L332" i="1"/>
  <c r="M332" i="1" s="1"/>
  <c r="F1763" i="1"/>
  <c r="F1676" i="1"/>
  <c r="F1756" i="1"/>
  <c r="F1687" i="1"/>
  <c r="F1635" i="1"/>
  <c r="F1780" i="1"/>
  <c r="C2173" i="1"/>
  <c r="B2174" i="1"/>
  <c r="F1777" i="1"/>
  <c r="F1791" i="1"/>
  <c r="F1729" i="1"/>
  <c r="F1825" i="1"/>
  <c r="F1645" i="1"/>
  <c r="F1783" i="1"/>
  <c r="F1749" i="1"/>
  <c r="J374" i="1"/>
  <c r="L373" i="1"/>
  <c r="M373" i="1" s="1"/>
  <c r="F1752" i="1"/>
  <c r="F1711" i="1"/>
  <c r="F1655" i="1"/>
  <c r="F1821" i="1"/>
  <c r="F1673" i="1"/>
  <c r="F1634" i="1"/>
  <c r="F1713" i="1"/>
  <c r="F1760" i="1"/>
  <c r="F1662" i="1"/>
  <c r="F1724" i="1"/>
  <c r="F1767" i="1"/>
  <c r="F1737" i="1"/>
  <c r="F1750" i="1"/>
  <c r="F1810" i="1"/>
  <c r="F1643" i="1"/>
  <c r="F1714" i="1"/>
  <c r="F1680" i="1"/>
  <c r="F1794" i="1"/>
  <c r="F1739" i="1"/>
  <c r="F1753" i="1"/>
  <c r="F1745" i="1"/>
  <c r="F1827" i="1"/>
  <c r="F1666" i="1"/>
  <c r="F1636" i="1"/>
  <c r="F1678" i="1"/>
  <c r="F1786" i="1"/>
  <c r="F1732" i="1"/>
  <c r="F1690" i="1"/>
  <c r="F1757" i="1"/>
  <c r="F1805" i="1"/>
  <c r="F1660" i="1"/>
  <c r="F1694" i="1"/>
  <c r="F1699" i="1"/>
  <c r="F1669" i="1"/>
  <c r="F1670" i="1"/>
  <c r="F1793" i="1"/>
  <c r="F1652" i="1"/>
  <c r="F1730" i="1"/>
  <c r="F1764" i="1"/>
  <c r="F1759" i="1"/>
  <c r="C1921" i="1"/>
  <c r="D1922" i="1"/>
  <c r="F1712" i="1"/>
  <c r="F1787" i="1"/>
  <c r="F1811" i="1"/>
  <c r="F1697" i="1"/>
  <c r="F1649" i="1"/>
  <c r="F1647" i="1"/>
  <c r="F1683" i="1"/>
  <c r="F1679" i="1"/>
  <c r="F1661" i="1"/>
  <c r="F1668" i="1"/>
  <c r="F1776" i="1"/>
  <c r="F1703" i="1"/>
  <c r="F1754" i="1"/>
  <c r="F1693" i="1"/>
  <c r="F1774" i="1"/>
  <c r="F1710" i="1"/>
  <c r="F1704" i="1"/>
  <c r="F1663" i="1"/>
  <c r="J396" i="1"/>
  <c r="L395" i="1"/>
  <c r="M395" i="1" s="1"/>
  <c r="F1648" i="1"/>
  <c r="F1784" i="1"/>
  <c r="F1654" i="1"/>
  <c r="F1656" i="1"/>
  <c r="F1803" i="1"/>
  <c r="F1758" i="1"/>
  <c r="F1744" i="1"/>
  <c r="F1735" i="1"/>
  <c r="F1717" i="1"/>
  <c r="F1721" i="1"/>
  <c r="F1765" i="1"/>
  <c r="F1778" i="1"/>
  <c r="F1692" i="1"/>
  <c r="F1826" i="1"/>
  <c r="F1675" i="1"/>
  <c r="F1644" i="1"/>
  <c r="F1682" i="1"/>
  <c r="F1734" i="1"/>
  <c r="F1799" i="1"/>
  <c r="F1795" i="1"/>
  <c r="F1809" i="1"/>
  <c r="F1702" i="1"/>
  <c r="F1653" i="1"/>
  <c r="F1815" i="1"/>
  <c r="F1772" i="1"/>
  <c r="F1700" i="1"/>
  <c r="F1741" i="1"/>
  <c r="C2174" i="1" l="1"/>
  <c r="B2175" i="1"/>
  <c r="C1837" i="1"/>
  <c r="D1838" i="1"/>
  <c r="J375" i="1"/>
  <c r="L374" i="1"/>
  <c r="M374" i="1" s="1"/>
  <c r="C1922" i="1"/>
  <c r="D1923" i="1"/>
  <c r="J334" i="1"/>
  <c r="L333" i="1"/>
  <c r="M333" i="1" s="1"/>
  <c r="L396" i="1"/>
  <c r="M396" i="1" s="1"/>
  <c r="J397" i="1"/>
  <c r="D2201" i="1"/>
  <c r="C2200" i="1"/>
  <c r="D1839" i="1" l="1"/>
  <c r="C1838" i="1"/>
  <c r="C2175" i="1"/>
  <c r="B2176" i="1"/>
  <c r="J335" i="1"/>
  <c r="L334" i="1"/>
  <c r="M334" i="1" s="1"/>
  <c r="L375" i="1"/>
  <c r="M375" i="1" s="1"/>
  <c r="J376" i="1"/>
  <c r="C2201" i="1"/>
  <c r="D2202" i="1"/>
  <c r="J398" i="1"/>
  <c r="L397" i="1"/>
  <c r="M397" i="1" s="1"/>
  <c r="D1924" i="1"/>
  <c r="C1923" i="1"/>
  <c r="J336" i="1" l="1"/>
  <c r="L335" i="1"/>
  <c r="M335" i="1" s="1"/>
  <c r="C2176" i="1"/>
  <c r="B2177" i="1"/>
  <c r="D1925" i="1"/>
  <c r="C1924" i="1"/>
  <c r="L376" i="1"/>
  <c r="M376" i="1" s="1"/>
  <c r="J377" i="1"/>
  <c r="C2202" i="1"/>
  <c r="D2203" i="1"/>
  <c r="J399" i="1"/>
  <c r="L398" i="1"/>
  <c r="M398" i="1" s="1"/>
  <c r="D1840" i="1"/>
  <c r="C1839" i="1"/>
  <c r="C1925" i="1" l="1"/>
  <c r="D1926" i="1"/>
  <c r="L399" i="1"/>
  <c r="M399" i="1" s="1"/>
  <c r="J400" i="1"/>
  <c r="C2203" i="1"/>
  <c r="D2204" i="1"/>
  <c r="J378" i="1"/>
  <c r="L377" i="1"/>
  <c r="M377" i="1" s="1"/>
  <c r="D1841" i="1"/>
  <c r="C1840" i="1"/>
  <c r="C2177" i="1"/>
  <c r="B2178" i="1"/>
  <c r="L336" i="1"/>
  <c r="M336" i="1" s="1"/>
  <c r="J337" i="1"/>
  <c r="J338" i="1" l="1"/>
  <c r="L337" i="1"/>
  <c r="M337" i="1" s="1"/>
  <c r="D1842" i="1"/>
  <c r="C1841" i="1"/>
  <c r="J401" i="1"/>
  <c r="L400" i="1"/>
  <c r="M400" i="1" s="1"/>
  <c r="C2178" i="1"/>
  <c r="B2179" i="1"/>
  <c r="C2179" i="1" s="1"/>
  <c r="L378" i="1"/>
  <c r="M378" i="1" s="1"/>
  <c r="J379" i="1"/>
  <c r="C2204" i="1"/>
  <c r="D2205" i="1"/>
  <c r="C1926" i="1"/>
  <c r="D1927" i="1"/>
  <c r="L379" i="1" l="1"/>
  <c r="M379" i="1" s="1"/>
  <c r="J380" i="1"/>
  <c r="D1928" i="1"/>
  <c r="C1927" i="1"/>
  <c r="C2205" i="1"/>
  <c r="D2206" i="1"/>
  <c r="J402" i="1"/>
  <c r="L401" i="1"/>
  <c r="M401" i="1" s="1"/>
  <c r="L338" i="1"/>
  <c r="M338" i="1" s="1"/>
  <c r="J339" i="1"/>
  <c r="C1842" i="1"/>
  <c r="D1843" i="1"/>
  <c r="J381" i="1" l="1"/>
  <c r="L381" i="1" s="1"/>
  <c r="M381" i="1" s="1"/>
  <c r="L380" i="1"/>
  <c r="M380" i="1" s="1"/>
  <c r="C1843" i="1"/>
  <c r="D1844" i="1"/>
  <c r="L402" i="1"/>
  <c r="M402" i="1" s="1"/>
  <c r="J403" i="1"/>
  <c r="C2206" i="1"/>
  <c r="D2207" i="1"/>
  <c r="J340" i="1"/>
  <c r="L339" i="1"/>
  <c r="M339" i="1" s="1"/>
  <c r="C1928" i="1"/>
  <c r="D1929" i="1"/>
  <c r="C1929" i="1" l="1"/>
  <c r="D1930" i="1"/>
  <c r="J404" i="1"/>
  <c r="L403" i="1"/>
  <c r="M403" i="1" s="1"/>
  <c r="D1845" i="1"/>
  <c r="C1844" i="1"/>
  <c r="J341" i="1"/>
  <c r="L340" i="1"/>
  <c r="M340" i="1" s="1"/>
  <c r="C2207" i="1"/>
  <c r="D2208" i="1"/>
  <c r="D1931" i="1" l="1"/>
  <c r="C1930" i="1"/>
  <c r="L341" i="1"/>
  <c r="M341" i="1" s="1"/>
  <c r="J342" i="1"/>
  <c r="C2208" i="1"/>
  <c r="D2209" i="1"/>
  <c r="D1846" i="1"/>
  <c r="C1845" i="1"/>
  <c r="J405" i="1"/>
  <c r="L404" i="1"/>
  <c r="M404" i="1" s="1"/>
  <c r="D1847" i="1" l="1"/>
  <c r="C1846" i="1"/>
  <c r="J343" i="1"/>
  <c r="L342" i="1"/>
  <c r="M342" i="1" s="1"/>
  <c r="C2209" i="1"/>
  <c r="D2210" i="1"/>
  <c r="C1931" i="1"/>
  <c r="D1932" i="1"/>
  <c r="L405" i="1"/>
  <c r="M405" i="1" s="1"/>
  <c r="J406" i="1"/>
  <c r="L406" i="1" l="1"/>
  <c r="M406" i="1" s="1"/>
  <c r="J407" i="1"/>
  <c r="C1847" i="1"/>
  <c r="D1848" i="1"/>
  <c r="C1932" i="1"/>
  <c r="D1933" i="1"/>
  <c r="J344" i="1"/>
  <c r="L344" i="1" s="1"/>
  <c r="M344" i="1" s="1"/>
  <c r="L343" i="1"/>
  <c r="M343" i="1" s="1"/>
  <c r="C2210" i="1"/>
  <c r="D2211" i="1"/>
  <c r="D1849" i="1" l="1"/>
  <c r="C1848" i="1"/>
  <c r="J408" i="1"/>
  <c r="L407" i="1"/>
  <c r="M407" i="1" s="1"/>
  <c r="D1934" i="1"/>
  <c r="C1933" i="1"/>
  <c r="D2212" i="1"/>
  <c r="C2211" i="1"/>
  <c r="C1849" i="1" l="1"/>
  <c r="D1850" i="1"/>
  <c r="L408" i="1"/>
  <c r="M408" i="1" s="1"/>
  <c r="J409" i="1"/>
  <c r="D2213" i="1"/>
  <c r="C2212" i="1"/>
  <c r="D1935" i="1"/>
  <c r="C1934" i="1"/>
  <c r="C1850" i="1" l="1"/>
  <c r="D1851" i="1"/>
  <c r="D1936" i="1"/>
  <c r="C1935" i="1"/>
  <c r="C2213" i="1"/>
  <c r="D2214" i="1"/>
  <c r="L409" i="1"/>
  <c r="M409" i="1" s="1"/>
  <c r="J410" i="1"/>
  <c r="C2214" i="1" l="1"/>
  <c r="D2215" i="1"/>
  <c r="C1851" i="1"/>
  <c r="D1852" i="1"/>
  <c r="D1937" i="1"/>
  <c r="C1936" i="1"/>
  <c r="J411" i="1"/>
  <c r="L410" i="1"/>
  <c r="M410" i="1" s="1"/>
  <c r="L411" i="1" l="1"/>
  <c r="M411" i="1" s="1"/>
  <c r="J412" i="1"/>
  <c r="D1938" i="1"/>
  <c r="C1937" i="1"/>
  <c r="D1853" i="1"/>
  <c r="C1852" i="1"/>
  <c r="D2216" i="1"/>
  <c r="C2215" i="1"/>
  <c r="D1939" i="1" l="1"/>
  <c r="C1938" i="1"/>
  <c r="C1853" i="1"/>
  <c r="D1854" i="1"/>
  <c r="D2217" i="1"/>
  <c r="C2216" i="1"/>
  <c r="L412" i="1"/>
  <c r="M412" i="1" s="1"/>
  <c r="J413" i="1"/>
  <c r="D1855" i="1" l="1"/>
  <c r="C1854" i="1"/>
  <c r="J414" i="1"/>
  <c r="L413" i="1"/>
  <c r="M413" i="1" s="1"/>
  <c r="C1939" i="1"/>
  <c r="D1940" i="1"/>
  <c r="C2217" i="1"/>
  <c r="D2218" i="1"/>
  <c r="C2218" i="1" l="1"/>
  <c r="D2219" i="1"/>
  <c r="L414" i="1"/>
  <c r="M414" i="1" s="1"/>
  <c r="J415" i="1"/>
  <c r="D1941" i="1"/>
  <c r="C1940" i="1"/>
  <c r="C1855" i="1"/>
  <c r="D1856" i="1"/>
  <c r="D2220" i="1" l="1"/>
  <c r="C2219" i="1"/>
  <c r="L415" i="1"/>
  <c r="M415" i="1" s="1"/>
  <c r="J416" i="1"/>
  <c r="L416" i="1" s="1"/>
  <c r="M416" i="1" s="1"/>
  <c r="D1857" i="1"/>
  <c r="C1856" i="1"/>
  <c r="C1941" i="1"/>
  <c r="D1942" i="1"/>
  <c r="D2221" i="1" l="1"/>
  <c r="C2220" i="1"/>
  <c r="C1857" i="1"/>
  <c r="D1858" i="1"/>
  <c r="C1942" i="1"/>
  <c r="D1943" i="1"/>
  <c r="C1858" i="1" l="1"/>
  <c r="D1859" i="1"/>
  <c r="C2221" i="1"/>
  <c r="D2222" i="1"/>
  <c r="C1943" i="1"/>
  <c r="D1944" i="1"/>
  <c r="C2222" i="1" l="1"/>
  <c r="D2223" i="1"/>
  <c r="C1944" i="1"/>
  <c r="D1945" i="1"/>
  <c r="C1859" i="1"/>
  <c r="D1860" i="1"/>
  <c r="D1861" i="1" l="1"/>
  <c r="C1860" i="1"/>
  <c r="C1945" i="1"/>
  <c r="D1946" i="1"/>
  <c r="D2224" i="1"/>
  <c r="C2223" i="1"/>
  <c r="D2225" i="1" l="1"/>
  <c r="C2224" i="1"/>
  <c r="D1947" i="1"/>
  <c r="C1946" i="1"/>
  <c r="C1861" i="1"/>
  <c r="D1862" i="1"/>
  <c r="C1862" i="1" l="1"/>
  <c r="D1863" i="1"/>
  <c r="D1948" i="1"/>
  <c r="C1947" i="1"/>
  <c r="D2226" i="1"/>
  <c r="C2225" i="1"/>
  <c r="D1949" i="1" l="1"/>
  <c r="C1948" i="1"/>
  <c r="D1864" i="1"/>
  <c r="C1863" i="1"/>
  <c r="C2226" i="1"/>
  <c r="D2227" i="1"/>
  <c r="C1949" i="1" l="1"/>
  <c r="D1950" i="1"/>
  <c r="D2228" i="1"/>
  <c r="C2227" i="1"/>
  <c r="D1865" i="1"/>
  <c r="C1864" i="1"/>
  <c r="C1865" i="1" l="1"/>
  <c r="D1866" i="1"/>
  <c r="D1951" i="1"/>
  <c r="C1950" i="1"/>
  <c r="D2229" i="1"/>
  <c r="C2228" i="1"/>
  <c r="C1951" i="1" l="1"/>
  <c r="D1952" i="1"/>
  <c r="D2230" i="1"/>
  <c r="C2229" i="1"/>
  <c r="C1866" i="1"/>
  <c r="D1867" i="1"/>
  <c r="C1867" i="1" l="1"/>
  <c r="D1868" i="1"/>
  <c r="C1952" i="1"/>
  <c r="D1953" i="1"/>
  <c r="C2230" i="1"/>
  <c r="D2231" i="1"/>
  <c r="D2232" i="1" l="1"/>
  <c r="C2231" i="1"/>
  <c r="D1954" i="1"/>
  <c r="C1953" i="1"/>
  <c r="D1869" i="1"/>
  <c r="C1868" i="1"/>
  <c r="C1954" i="1" l="1"/>
  <c r="D1955" i="1"/>
  <c r="D1870" i="1"/>
  <c r="C1869" i="1"/>
  <c r="D2233" i="1"/>
  <c r="C2232" i="1"/>
  <c r="D1956" i="1" l="1"/>
  <c r="C1955" i="1"/>
  <c r="D2234" i="1"/>
  <c r="C2233" i="1"/>
  <c r="D1871" i="1"/>
  <c r="C1870" i="1"/>
  <c r="C1871" i="1" l="1"/>
  <c r="D1872" i="1"/>
  <c r="C2234" i="1"/>
  <c r="D2235" i="1"/>
  <c r="C1956" i="1"/>
  <c r="D1957" i="1"/>
  <c r="C1872" i="1" l="1"/>
  <c r="D1873" i="1"/>
  <c r="C1957" i="1"/>
  <c r="D1958" i="1"/>
  <c r="D2236" i="1"/>
  <c r="C2235" i="1"/>
  <c r="C1958" i="1" l="1"/>
  <c r="D1959" i="1"/>
  <c r="C1873" i="1"/>
  <c r="D1874" i="1"/>
  <c r="D2237" i="1"/>
  <c r="C2236" i="1"/>
  <c r="D2238" i="1" l="1"/>
  <c r="C2237" i="1"/>
  <c r="C1959" i="1"/>
  <c r="D1960" i="1"/>
  <c r="C1874" i="1"/>
  <c r="D1875" i="1"/>
  <c r="C1875" i="1" l="1"/>
  <c r="D1876" i="1"/>
  <c r="C1960" i="1"/>
  <c r="D1961" i="1"/>
  <c r="C2238" i="1"/>
  <c r="D2239" i="1"/>
  <c r="C1876" i="1" l="1"/>
  <c r="D1877" i="1"/>
  <c r="D2240" i="1"/>
  <c r="C2239" i="1"/>
  <c r="D1962" i="1"/>
  <c r="C1961" i="1"/>
  <c r="D2241" i="1" l="1"/>
  <c r="C2240" i="1"/>
  <c r="C1877" i="1"/>
  <c r="D1878" i="1"/>
  <c r="D1963" i="1"/>
  <c r="C1962" i="1"/>
  <c r="D1879" i="1" l="1"/>
  <c r="C1878" i="1"/>
  <c r="C1963" i="1"/>
  <c r="D1964" i="1"/>
  <c r="D2242" i="1"/>
  <c r="C2241" i="1"/>
  <c r="C2242" i="1" l="1"/>
  <c r="D2243" i="1"/>
  <c r="D1965" i="1"/>
  <c r="C1964" i="1"/>
  <c r="C1879" i="1"/>
  <c r="D1880" i="1"/>
  <c r="D2244" i="1" l="1"/>
  <c r="C2243" i="1"/>
  <c r="C1880" i="1"/>
  <c r="D1881" i="1"/>
  <c r="C1965" i="1"/>
  <c r="D1966" i="1"/>
  <c r="D1967" i="1" l="1"/>
  <c r="C1966" i="1"/>
  <c r="D2245" i="1"/>
  <c r="C2244" i="1"/>
  <c r="C1881" i="1"/>
  <c r="D1882" i="1"/>
  <c r="C1967" i="1" l="1"/>
  <c r="D1968" i="1"/>
  <c r="C1882" i="1"/>
  <c r="D1883" i="1"/>
  <c r="D2246" i="1"/>
  <c r="C2245" i="1"/>
  <c r="C2246" i="1" l="1"/>
  <c r="D2247" i="1"/>
  <c r="D1969" i="1"/>
  <c r="C1968" i="1"/>
  <c r="D1884" i="1"/>
  <c r="C1883" i="1"/>
  <c r="C1969" i="1" l="1"/>
  <c r="D1970" i="1"/>
  <c r="D1885" i="1"/>
  <c r="C1884" i="1"/>
  <c r="D2248" i="1"/>
  <c r="C2247" i="1"/>
  <c r="C1885" i="1" l="1"/>
  <c r="D1886" i="1"/>
  <c r="C1970" i="1"/>
  <c r="D1971" i="1"/>
  <c r="D2249" i="1"/>
  <c r="C2248" i="1"/>
  <c r="C1971" i="1" l="1"/>
  <c r="D1972" i="1"/>
  <c r="D2250" i="1"/>
  <c r="C2249" i="1"/>
  <c r="D1887" i="1"/>
  <c r="C1886" i="1"/>
  <c r="D1888" i="1" l="1"/>
  <c r="C1887" i="1"/>
  <c r="C1972" i="1"/>
  <c r="D1973" i="1"/>
  <c r="C2250" i="1"/>
  <c r="D2251" i="1"/>
  <c r="D1889" i="1" l="1"/>
  <c r="C1888" i="1"/>
  <c r="D2252" i="1"/>
  <c r="C2251" i="1"/>
  <c r="C1973" i="1"/>
  <c r="D1974" i="1"/>
  <c r="C1889" i="1" l="1"/>
  <c r="D1890" i="1"/>
  <c r="C2252" i="1"/>
  <c r="D2253" i="1"/>
  <c r="D1975" i="1"/>
  <c r="C1974" i="1"/>
  <c r="C1975" i="1" l="1"/>
  <c r="D1976" i="1"/>
  <c r="D2254" i="1"/>
  <c r="C2253" i="1"/>
  <c r="D1891" i="1"/>
  <c r="C1890" i="1"/>
  <c r="C2254" i="1" l="1"/>
  <c r="D2255" i="1"/>
  <c r="D1977" i="1"/>
  <c r="C1976" i="1"/>
  <c r="D1892" i="1"/>
  <c r="C1891" i="1"/>
  <c r="D2256" i="1" l="1"/>
  <c r="C2255" i="1"/>
  <c r="D1893" i="1"/>
  <c r="C1892" i="1"/>
  <c r="C1977" i="1"/>
  <c r="D1978" i="1"/>
  <c r="C2256" i="1" l="1"/>
  <c r="D2257" i="1"/>
  <c r="D1979" i="1"/>
  <c r="C1978" i="1"/>
  <c r="C1893" i="1"/>
  <c r="D1894" i="1"/>
  <c r="D2258" i="1" l="1"/>
  <c r="C2257" i="1"/>
  <c r="C1894" i="1"/>
  <c r="D1895" i="1"/>
  <c r="D1980" i="1"/>
  <c r="C1979" i="1"/>
  <c r="C1895" i="1" l="1"/>
  <c r="D1896" i="1"/>
  <c r="C1980" i="1"/>
  <c r="D1981" i="1"/>
  <c r="C2258" i="1"/>
  <c r="D2259" i="1"/>
  <c r="D1897" i="1" l="1"/>
  <c r="C1896" i="1"/>
  <c r="D2260" i="1"/>
  <c r="C2259" i="1"/>
  <c r="C1981" i="1"/>
  <c r="D1982" i="1"/>
  <c r="D1983" i="1" l="1"/>
  <c r="C1982" i="1"/>
  <c r="D1898" i="1"/>
  <c r="C1897" i="1"/>
  <c r="C2260" i="1"/>
  <c r="D2261" i="1"/>
  <c r="D2262" i="1" l="1"/>
  <c r="C2261" i="1"/>
  <c r="D1899" i="1"/>
  <c r="C1898" i="1"/>
  <c r="C1983" i="1"/>
  <c r="D1984" i="1"/>
  <c r="C1984" i="1" l="1"/>
  <c r="D1985" i="1"/>
  <c r="C2262" i="1"/>
  <c r="D2263" i="1"/>
  <c r="C1899" i="1"/>
  <c r="D1900" i="1"/>
  <c r="D2264" i="1" l="1"/>
  <c r="C2263" i="1"/>
  <c r="D1986" i="1"/>
  <c r="C1985" i="1"/>
  <c r="C1900" i="1"/>
  <c r="D1901" i="1"/>
  <c r="D1902" i="1" l="1"/>
  <c r="C1901" i="1"/>
  <c r="C2264" i="1"/>
  <c r="D2265" i="1"/>
  <c r="D1987" i="1"/>
  <c r="C1986" i="1"/>
  <c r="C1987" i="1" l="1"/>
  <c r="D1988" i="1"/>
  <c r="D2266" i="1"/>
  <c r="C2265" i="1"/>
  <c r="D1903" i="1"/>
  <c r="C1902" i="1"/>
  <c r="C1903" i="1" l="1"/>
  <c r="D1904" i="1"/>
  <c r="D1989" i="1"/>
  <c r="C1988" i="1"/>
  <c r="C2266" i="1"/>
  <c r="D2267" i="1"/>
  <c r="D1905" i="1" l="1"/>
  <c r="C1904" i="1"/>
  <c r="C1989" i="1"/>
  <c r="D1990" i="1"/>
  <c r="D2268" i="1"/>
  <c r="C2267" i="1"/>
  <c r="C2268" i="1" l="1"/>
  <c r="D2269" i="1"/>
  <c r="C1990" i="1"/>
  <c r="D1991" i="1"/>
  <c r="C1905" i="1"/>
  <c r="D1906" i="1"/>
  <c r="D1907" i="1" l="1"/>
  <c r="C1906" i="1"/>
  <c r="C1991" i="1"/>
  <c r="D1992" i="1"/>
  <c r="D2270" i="1"/>
  <c r="C2269" i="1"/>
  <c r="C1992" i="1" l="1"/>
  <c r="D1993" i="1"/>
  <c r="C2270" i="1"/>
  <c r="D2271" i="1"/>
  <c r="C1907" i="1"/>
  <c r="D1908" i="1"/>
  <c r="D2272" i="1" l="1"/>
  <c r="C2271" i="1"/>
  <c r="D1909" i="1"/>
  <c r="C1908" i="1"/>
  <c r="C1993" i="1"/>
  <c r="D1994" i="1"/>
  <c r="D1910" i="1" l="1"/>
  <c r="C1909" i="1"/>
  <c r="C1994" i="1"/>
  <c r="D1995" i="1"/>
  <c r="C2272" i="1"/>
  <c r="D2273" i="1"/>
  <c r="C1995" i="1" l="1"/>
  <c r="D1996" i="1"/>
  <c r="D2274" i="1"/>
  <c r="C2273" i="1"/>
  <c r="D1911" i="1"/>
  <c r="C1910" i="1"/>
  <c r="C1911" i="1" l="1"/>
  <c r="D1912" i="1"/>
  <c r="C1996" i="1"/>
  <c r="D1997" i="1"/>
  <c r="C2274" i="1"/>
  <c r="D2275" i="1"/>
  <c r="C1997" i="1" l="1"/>
  <c r="D1998" i="1"/>
  <c r="C1912" i="1"/>
  <c r="D1913" i="1"/>
  <c r="D2276" i="1"/>
  <c r="C2275" i="1"/>
  <c r="C2276" i="1" l="1"/>
  <c r="D2277" i="1"/>
  <c r="C1913" i="1"/>
  <c r="D1914" i="1"/>
  <c r="D1999" i="1"/>
  <c r="C1998" i="1"/>
  <c r="C1999" i="1" l="1"/>
  <c r="D2000" i="1"/>
  <c r="D2278" i="1"/>
  <c r="C2277" i="1"/>
  <c r="D1915" i="1"/>
  <c r="C1914" i="1"/>
  <c r="C1915" i="1" l="1"/>
  <c r="D1916" i="1"/>
  <c r="C1916" i="1" s="1"/>
  <c r="C2278" i="1"/>
  <c r="D2279" i="1"/>
  <c r="D2001" i="1"/>
  <c r="C2000" i="1"/>
  <c r="C2001" i="1" l="1"/>
  <c r="D2002" i="1"/>
  <c r="D2280" i="1"/>
  <c r="C2279" i="1"/>
  <c r="C2002" i="1" l="1"/>
  <c r="D2003" i="1"/>
  <c r="C2280" i="1"/>
  <c r="D2281" i="1"/>
  <c r="D2004" i="1" l="1"/>
  <c r="C2003" i="1"/>
  <c r="D2282" i="1"/>
  <c r="C2282" i="1" s="1"/>
  <c r="C2281" i="1"/>
  <c r="D2005" i="1" l="1"/>
  <c r="C2004" i="1"/>
  <c r="C2005" i="1" l="1"/>
  <c r="D2006" i="1"/>
  <c r="C2006" i="1" l="1"/>
  <c r="D2007" i="1"/>
  <c r="C2007" i="1" l="1"/>
  <c r="D2008" i="1"/>
  <c r="D2009" i="1" l="1"/>
  <c r="D2010" i="1" s="1"/>
  <c r="C2008" i="1"/>
  <c r="D2011" i="1" l="1"/>
  <c r="C2010" i="1"/>
  <c r="D2012" i="1" l="1"/>
  <c r="C2011" i="1"/>
  <c r="C2012" i="1" l="1"/>
  <c r="D2013" i="1"/>
  <c r="D2014" i="1" l="1"/>
  <c r="C2013" i="1"/>
  <c r="C2014" i="1" l="1"/>
  <c r="D2015" i="1"/>
  <c r="D2016" i="1" l="1"/>
  <c r="C2015" i="1"/>
  <c r="D2017" i="1" l="1"/>
  <c r="C2016" i="1"/>
  <c r="D2018" i="1" l="1"/>
  <c r="C2017" i="1"/>
  <c r="C2018" i="1" l="1"/>
  <c r="D2019" i="1"/>
  <c r="C2019" i="1" l="1"/>
  <c r="D2020" i="1"/>
  <c r="C2020" i="1" l="1"/>
  <c r="D2021" i="1"/>
  <c r="D2022" i="1" l="1"/>
  <c r="C2021" i="1"/>
  <c r="D2023" i="1" l="1"/>
  <c r="C2022" i="1"/>
  <c r="D2024" i="1" l="1"/>
  <c r="C2023" i="1"/>
  <c r="C2024" i="1" l="1"/>
  <c r="D2025" i="1"/>
  <c r="D2026" i="1" l="1"/>
  <c r="C2025" i="1"/>
  <c r="C2026" i="1" l="1"/>
  <c r="D2027" i="1"/>
  <c r="D2028" i="1" l="1"/>
  <c r="C2027" i="1"/>
  <c r="D2029" i="1" l="1"/>
  <c r="C2028" i="1"/>
  <c r="D2030" i="1" l="1"/>
  <c r="C2029" i="1"/>
  <c r="C2030" i="1" l="1"/>
  <c r="D2031" i="1"/>
  <c r="C2031" i="1" l="1"/>
  <c r="D2032" i="1"/>
  <c r="D2033" i="1" l="1"/>
  <c r="C2032" i="1"/>
  <c r="D2034" i="1" l="1"/>
  <c r="C2033" i="1"/>
  <c r="D2035" i="1" l="1"/>
  <c r="C2034" i="1"/>
  <c r="D2036" i="1" l="1"/>
  <c r="C2035" i="1"/>
  <c r="C2036" i="1" l="1"/>
  <c r="D2037" i="1"/>
  <c r="D2038" i="1" l="1"/>
  <c r="C2037" i="1"/>
  <c r="C2038" i="1" l="1"/>
  <c r="D2039" i="1"/>
  <c r="C2039" i="1" l="1"/>
  <c r="D2040" i="1"/>
  <c r="D2041" i="1" l="1"/>
  <c r="C2040" i="1"/>
  <c r="D2042" i="1" l="1"/>
  <c r="C2041" i="1"/>
  <c r="D2043" i="1" l="1"/>
  <c r="C2042" i="1"/>
  <c r="D2044" i="1" l="1"/>
  <c r="C2043" i="1"/>
  <c r="C2044" i="1" l="1"/>
  <c r="D2045" i="1"/>
  <c r="C2045" i="1" l="1"/>
  <c r="D2046" i="1"/>
  <c r="D2047" i="1" l="1"/>
  <c r="C2046" i="1"/>
  <c r="D2048" i="1" l="1"/>
  <c r="C2047" i="1"/>
  <c r="D2049" i="1" l="1"/>
  <c r="C2048" i="1"/>
  <c r="D2050" i="1" l="1"/>
  <c r="C2049" i="1"/>
  <c r="D2051" i="1" l="1"/>
  <c r="C2050" i="1"/>
  <c r="C2051" i="1" l="1"/>
  <c r="D2052" i="1"/>
  <c r="D2053" i="1" l="1"/>
  <c r="C2052" i="1"/>
  <c r="D2054" i="1" l="1"/>
  <c r="C2053" i="1"/>
  <c r="C2054" i="1" l="1"/>
  <c r="D2055" i="1"/>
  <c r="C2055" i="1" l="1"/>
  <c r="D2056" i="1"/>
  <c r="D2057" i="1" l="1"/>
  <c r="C2056" i="1"/>
  <c r="C2057" i="1" l="1"/>
  <c r="D2058" i="1"/>
  <c r="D2059" i="1" l="1"/>
  <c r="C2058" i="1"/>
  <c r="D2060" i="1" l="1"/>
  <c r="C2059" i="1"/>
  <c r="C2060" i="1" l="1"/>
  <c r="D2061" i="1"/>
  <c r="C2061" i="1" l="1"/>
  <c r="D2062" i="1"/>
  <c r="D2063" i="1" l="1"/>
  <c r="C2062" i="1"/>
  <c r="C2063" i="1" l="1"/>
  <c r="D2064" i="1"/>
  <c r="D2065" i="1" l="1"/>
  <c r="C2064" i="1"/>
  <c r="D2066" i="1" l="1"/>
  <c r="C2065" i="1"/>
  <c r="C2066" i="1" l="1"/>
  <c r="D2067" i="1"/>
  <c r="C2067" i="1" l="1"/>
  <c r="D2068" i="1"/>
  <c r="D2069" i="1" l="1"/>
  <c r="C2068" i="1"/>
  <c r="C2069" i="1" l="1"/>
  <c r="D2070" i="1"/>
  <c r="D2071" i="1" l="1"/>
  <c r="C2070" i="1"/>
  <c r="C2071" i="1" l="1"/>
  <c r="D2072" i="1"/>
  <c r="D2073" i="1" l="1"/>
  <c r="C2072" i="1"/>
  <c r="C2073" i="1" l="1"/>
  <c r="D2074" i="1"/>
  <c r="D2075" i="1" l="1"/>
  <c r="C2074" i="1"/>
  <c r="C2075" i="1" l="1"/>
  <c r="D2076" i="1"/>
  <c r="C2076" i="1" l="1"/>
  <c r="D2077" i="1"/>
  <c r="C2077" i="1" l="1"/>
  <c r="D2078" i="1"/>
  <c r="C2078" i="1" l="1"/>
  <c r="D2079" i="1"/>
  <c r="D2080" i="1" l="1"/>
  <c r="C2079" i="1"/>
  <c r="C2080" i="1" l="1"/>
  <c r="D2081" i="1"/>
  <c r="C2081" i="1" l="1"/>
  <c r="D2082" i="1"/>
  <c r="D2083" i="1" l="1"/>
  <c r="C2082" i="1"/>
  <c r="C2083" i="1" l="1"/>
  <c r="D2084" i="1"/>
  <c r="C2084" i="1" l="1"/>
  <c r="D2085" i="1"/>
  <c r="D2086" i="1" l="1"/>
  <c r="C2085" i="1"/>
  <c r="C2086" i="1" l="1"/>
  <c r="D2087" i="1"/>
  <c r="C2087" i="1" l="1"/>
  <c r="D2088" i="1"/>
  <c r="D2089" i="1" l="1"/>
  <c r="C2088" i="1"/>
  <c r="C2089" i="1" l="1"/>
  <c r="D2090" i="1"/>
  <c r="C2090" i="1" l="1"/>
  <c r="D2091" i="1"/>
  <c r="D2092" i="1" l="1"/>
  <c r="C2091" i="1"/>
  <c r="C2092" i="1" l="1"/>
  <c r="D2093" i="1"/>
  <c r="C2093" i="1" l="1"/>
  <c r="D2094" i="1"/>
  <c r="D2095" i="1" l="1"/>
  <c r="C2094" i="1"/>
  <c r="C2095" i="1" l="1"/>
  <c r="D2096" i="1"/>
  <c r="C2096" i="1" l="1"/>
  <c r="D2097" i="1"/>
  <c r="D2098" i="1" l="1"/>
  <c r="C2097" i="1"/>
  <c r="C2098" i="1" l="1"/>
  <c r="D2099" i="1"/>
  <c r="C2099" i="1" l="1"/>
  <c r="D2100" i="1"/>
  <c r="D2101" i="1" l="1"/>
  <c r="C2100" i="1"/>
  <c r="C2101" i="1" l="1"/>
  <c r="D2102" i="1"/>
  <c r="C2102" i="1" l="1"/>
  <c r="D2103" i="1"/>
  <c r="D2104" i="1" l="1"/>
  <c r="C2103" i="1"/>
  <c r="C2104" i="1" l="1"/>
  <c r="D2105" i="1"/>
  <c r="C2105" i="1" l="1"/>
  <c r="D2106" i="1"/>
  <c r="D2107" i="1" l="1"/>
  <c r="C2106" i="1"/>
  <c r="C2107" i="1" l="1"/>
  <c r="D2108" i="1"/>
  <c r="C2108" i="1" l="1"/>
  <c r="D2109" i="1"/>
  <c r="D2110" i="1" l="1"/>
  <c r="C2109" i="1"/>
  <c r="C2110" i="1" l="1"/>
  <c r="D2111" i="1"/>
  <c r="C2111" i="1" l="1"/>
  <c r="D2112" i="1"/>
  <c r="D2113" i="1" l="1"/>
  <c r="C2112" i="1"/>
  <c r="C2113" i="1" l="1"/>
  <c r="D2114" i="1"/>
  <c r="C2114" i="1" l="1"/>
  <c r="D2115" i="1"/>
  <c r="D2116" i="1" l="1"/>
  <c r="C2115" i="1"/>
  <c r="C2116" i="1" l="1"/>
  <c r="D2117" i="1"/>
  <c r="C2117" i="1" l="1"/>
  <c r="D2118" i="1"/>
  <c r="D2119" i="1" l="1"/>
  <c r="C2118" i="1"/>
  <c r="C2119" i="1" l="1"/>
  <c r="D2120" i="1"/>
  <c r="C2120" i="1" l="1"/>
  <c r="D2121" i="1"/>
  <c r="D2122" i="1" l="1"/>
  <c r="C2121" i="1"/>
  <c r="C2122" i="1" l="1"/>
  <c r="D2123" i="1"/>
  <c r="C2123" i="1" l="1"/>
  <c r="D2124" i="1"/>
  <c r="D2125" i="1" l="1"/>
  <c r="C2124" i="1"/>
  <c r="C2125" i="1" l="1"/>
  <c r="D2126" i="1"/>
  <c r="C2126" i="1" l="1"/>
  <c r="D2127" i="1"/>
  <c r="D2128" i="1" l="1"/>
  <c r="C2127" i="1"/>
  <c r="C2128" i="1" l="1"/>
  <c r="D2129" i="1"/>
  <c r="C2129" i="1" l="1"/>
  <c r="D2130" i="1"/>
  <c r="D2131" i="1" l="1"/>
  <c r="C2130" i="1"/>
  <c r="C2131" i="1" l="1"/>
  <c r="D2132" i="1"/>
  <c r="C2132" i="1" l="1"/>
  <c r="D2133" i="1"/>
  <c r="D2134" i="1" l="1"/>
  <c r="C2133" i="1"/>
  <c r="C2134" i="1" l="1"/>
  <c r="D2135" i="1"/>
  <c r="C2135" i="1" l="1"/>
  <c r="D2136" i="1"/>
  <c r="D2137" i="1" l="1"/>
  <c r="C2136" i="1"/>
  <c r="C2137" i="1" l="1"/>
  <c r="D2138" i="1"/>
  <c r="C2138" i="1" l="1"/>
  <c r="D2139" i="1"/>
  <c r="D2140" i="1" l="1"/>
  <c r="C2139" i="1"/>
  <c r="C2140" i="1" l="1"/>
  <c r="D2141" i="1"/>
  <c r="C2141" i="1" l="1"/>
  <c r="D2142" i="1"/>
  <c r="D2143" i="1" l="1"/>
  <c r="C2142" i="1"/>
  <c r="C2143" i="1" l="1"/>
  <c r="D2144" i="1"/>
  <c r="C2144" i="1" l="1"/>
  <c r="D2145" i="1"/>
  <c r="D2146" i="1" l="1"/>
  <c r="C2145" i="1"/>
  <c r="C2146" i="1" l="1"/>
  <c r="D2147" i="1"/>
  <c r="C2147" i="1" l="1"/>
  <c r="D2148" i="1"/>
  <c r="D2149" i="1" l="1"/>
  <c r="C2148" i="1"/>
  <c r="C2149" i="1" l="1"/>
  <c r="D2150" i="1"/>
  <c r="C2150" i="1" l="1"/>
  <c r="D2151" i="1"/>
  <c r="D2152" i="1" l="1"/>
  <c r="C2151" i="1"/>
  <c r="C2152" i="1" l="1"/>
  <c r="D2153" i="1"/>
  <c r="C2153" i="1" l="1"/>
  <c r="D2154" i="1"/>
  <c r="D2155" i="1" l="1"/>
  <c r="C2154" i="1"/>
  <c r="C2155" i="1" l="1"/>
  <c r="D2156" i="1"/>
  <c r="C2156" i="1" l="1"/>
  <c r="D2157" i="1"/>
  <c r="D2158" i="1" l="1"/>
  <c r="C2157" i="1"/>
  <c r="C2158" i="1" l="1"/>
  <c r="D2159" i="1"/>
  <c r="C2159" i="1" l="1"/>
  <c r="D2160" i="1"/>
  <c r="D2161" i="1" l="1"/>
  <c r="C2160" i="1"/>
  <c r="C2161" i="1" l="1"/>
  <c r="D2162" i="1"/>
  <c r="C2162" i="1" l="1"/>
  <c r="D2163" i="1"/>
  <c r="D2164" i="1" l="1"/>
  <c r="C2163" i="1"/>
  <c r="C2164" i="1" l="1"/>
  <c r="D2165" i="1"/>
  <c r="C2165" i="1" l="1"/>
  <c r="D2166" i="1"/>
  <c r="D2167" i="1" l="1"/>
  <c r="C2166" i="1"/>
  <c r="C2167" i="1" l="1"/>
  <c r="D2168" i="1"/>
  <c r="C2168" i="1" l="1"/>
  <c r="D2169" i="1"/>
  <c r="C2169" i="1" s="1"/>
</calcChain>
</file>

<file path=xl/sharedStrings.xml><?xml version="1.0" encoding="utf-8"?>
<sst xmlns="http://schemas.openxmlformats.org/spreadsheetml/2006/main" count="19" uniqueCount="14">
  <si>
    <t>Date</t>
  </si>
  <si>
    <t>Target</t>
  </si>
  <si>
    <t>% FAT</t>
  </si>
  <si>
    <t>kg FAT</t>
  </si>
  <si>
    <t>Actual</t>
  </si>
  <si>
    <t>Average</t>
  </si>
  <si>
    <t>Daily Food (IN)</t>
  </si>
  <si>
    <t>BMR (OUT)</t>
  </si>
  <si>
    <t>Excercise (OUT)</t>
  </si>
  <si>
    <t>Total OUT</t>
  </si>
  <si>
    <t>NET (saving)</t>
  </si>
  <si>
    <t>Skręcenie kostki</t>
  </si>
  <si>
    <t>Nowe otwarcie - cel 80kg do 30.09.2025 --&gt; Apple Watch Ultra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</si>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</sst>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z_ł_-;\-* #,##0.00\ _z_ł_-;_-* &quot;-&quot;??\ _z_ł_-;_-@_-"/>
    <numFmt numFmtId="165" formatCode="_-* #,##0.0\ _z_ł_-;\-* #,##0.0\ _z_ł_-;_-* &quot;-&quot;??\ _z_ł_-;_-@_-"/>
    <numFmt numFmtId="166" formatCode="0.0%"/>
    <numFmt numFmtId="167" formatCode="#,##0.0_ ;[Red]\-#,##0.0\ "/>
    <numFmt numFmtId="168" formatCode="#,##0_ ;[Red]\-#,##0\ "/>
    <numFmt numFmtId="169" formatCode="#,##0.00_ ;[Red]\-#,##0.00\ "/>
    <numFmt numFmtId="170" formatCode="_-* #,##0.0\ _z_ł_-;\-* #,##0.0\ _z_ł_-;_-* &quot;-&quot;?\ _z_ł_-;_-@_-"/>
  </numFmts>
  <fonts count="4">
    <font>
      <sz val="11"/>
      <color theme="1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u val="double"/>
      <sz val="11"/>
      <color theme="1"/>
      <name val="Czcionka tekstu podstawowego"/>
      <family val="2"/>
      <charset val="238"/>
    </font>
    <font>
      <b/>
      <sz val="11"/>
      <color theme="1"/>
      <name val="Czcionka tekstu podstawowego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5">
    <xf numFmtId="0" fontId="0" fillId="0" borderId="0" xfId="0"/>
    <xf numFmtId="14" fontId="0" fillId="0" borderId="0" xfId="0" applyNumberFormat="1" applyAlignment="1">
      <alignment wrapText="1"/>
    </xf>
    <xf numFmtId="165" fontId="0" fillId="0" borderId="0" xfId="1" applyNumberFormat="1" applyFont="1" applyAlignment="1">
      <alignment wrapText="1"/>
    </xf>
    <xf numFmtId="166" fontId="0" fillId="0" borderId="0" xfId="2" applyNumberFormat="1" applyFont="1" applyAlignment="1">
      <alignment wrapText="1"/>
    </xf>
    <xf numFmtId="167" fontId="0" fillId="0" borderId="0" xfId="0" applyNumberFormat="1" applyAlignment="1">
      <alignment wrapText="1"/>
    </xf>
    <xf numFmtId="168" fontId="0" fillId="0" borderId="0" xfId="0" applyNumberFormat="1" applyAlignment="1">
      <alignment wrapText="1"/>
    </xf>
    <xf numFmtId="169" fontId="0" fillId="0" borderId="0" xfId="0" applyNumberFormat="1" applyAlignment="1">
      <alignment wrapText="1"/>
    </xf>
    <xf numFmtId="14" fontId="0" fillId="0" borderId="0" xfId="0" applyNumberFormat="1"/>
    <xf numFmtId="165" fontId="0" fillId="0" borderId="0" xfId="1" applyNumberFormat="1" applyFont="1"/>
    <xf numFmtId="166" fontId="0" fillId="0" borderId="0" xfId="2" applyNumberFormat="1" applyFon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65" fontId="0" fillId="0" borderId="0" xfId="1" applyNumberFormat="1" applyFont="1" applyFill="1"/>
    <xf numFmtId="14" fontId="0" fillId="0" borderId="1" xfId="0" applyNumberFormat="1" applyBorder="1"/>
    <xf numFmtId="166" fontId="0" fillId="0" borderId="1" xfId="2" applyNumberFormat="1" applyFont="1" applyBorder="1"/>
    <xf numFmtId="167" fontId="0" fillId="0" borderId="1" xfId="0" applyNumberFormat="1" applyBorder="1"/>
    <xf numFmtId="165" fontId="0" fillId="0" borderId="1" xfId="1" applyNumberFormat="1" applyFont="1" applyFill="1" applyBorder="1"/>
    <xf numFmtId="168" fontId="0" fillId="0" borderId="1" xfId="0" applyNumberFormat="1" applyBorder="1"/>
    <xf numFmtId="169" fontId="0" fillId="0" borderId="1" xfId="0" applyNumberFormat="1" applyBorder="1"/>
    <xf numFmtId="170" fontId="0" fillId="0" borderId="0" xfId="0" applyNumberFormat="1"/>
    <xf numFmtId="14" fontId="0" fillId="0" borderId="2" xfId="0" applyNumberFormat="1" applyBorder="1"/>
    <xf numFmtId="165" fontId="0" fillId="0" borderId="2" xfId="1" applyNumberFormat="1" applyFont="1" applyBorder="1"/>
    <xf numFmtId="166" fontId="0" fillId="0" borderId="2" xfId="2" applyNumberFormat="1" applyFont="1" applyBorder="1"/>
    <xf numFmtId="167" fontId="0" fillId="0" borderId="2" xfId="0" applyNumberFormat="1" applyBorder="1"/>
    <xf numFmtId="168" fontId="0" fillId="0" borderId="2" xfId="0" applyNumberFormat="1" applyBorder="1"/>
    <xf numFmtId="169" fontId="0" fillId="0" borderId="2" xfId="0" applyNumberFormat="1" applyBorder="1"/>
    <xf numFmtId="165" fontId="0" fillId="0" borderId="1" xfId="1" applyNumberFormat="1" applyFont="1" applyBorder="1"/>
    <xf numFmtId="167" fontId="0" fillId="0" borderId="1" xfId="1" applyNumberFormat="1" applyFont="1" applyBorder="1"/>
    <xf numFmtId="168" fontId="0" fillId="2" borderId="0" xfId="0" applyNumberFormat="1" applyFill="1"/>
    <xf numFmtId="14" fontId="2" fillId="0" borderId="3" xfId="0" applyNumberFormat="1" applyFont="1" applyBorder="1"/>
    <xf numFmtId="165" fontId="2" fillId="0" borderId="3" xfId="1" applyNumberFormat="1" applyFont="1" applyBorder="1"/>
    <xf numFmtId="166" fontId="2" fillId="0" borderId="3" xfId="2" applyNumberFormat="1" applyFont="1" applyBorder="1"/>
    <xf numFmtId="167" fontId="2" fillId="0" borderId="3" xfId="0" applyNumberFormat="1" applyFont="1" applyBorder="1"/>
    <xf numFmtId="168" fontId="2" fillId="0" borderId="3" xfId="0" applyNumberFormat="1" applyFont="1" applyBorder="1"/>
    <xf numFmtId="169" fontId="2" fillId="0" borderId="3" xfId="0" applyNumberFormat="1" applyFont="1" applyBorder="1"/>
    <xf numFmtId="165" fontId="2" fillId="0" borderId="3" xfId="1" applyNumberFormat="1" applyFont="1" applyFill="1" applyBorder="1"/>
    <xf numFmtId="14" fontId="0" fillId="0" borderId="4" xfId="0" applyNumberFormat="1" applyBorder="1"/>
    <xf numFmtId="165" fontId="0" fillId="0" borderId="4" xfId="1" applyNumberFormat="1" applyFont="1" applyBorder="1"/>
    <xf numFmtId="166" fontId="0" fillId="0" borderId="4" xfId="2" applyNumberFormat="1" applyFont="1" applyBorder="1"/>
    <xf numFmtId="167" fontId="0" fillId="0" borderId="4" xfId="0" applyNumberFormat="1" applyBorder="1"/>
    <xf numFmtId="165" fontId="0" fillId="0" borderId="4" xfId="1" applyNumberFormat="1" applyFont="1" applyFill="1" applyBorder="1"/>
    <xf numFmtId="168" fontId="0" fillId="0" borderId="4" xfId="0" applyNumberFormat="1" applyBorder="1"/>
    <xf numFmtId="169" fontId="0" fillId="0" borderId="4" xfId="0" applyNumberFormat="1" applyBorder="1"/>
    <xf numFmtId="166" fontId="0" fillId="0" borderId="0" xfId="2" applyNumberFormat="1" applyFont="1" applyFill="1"/>
    <xf numFmtId="14" fontId="3" fillId="0" borderId="5" xfId="0" applyNumberFormat="1" applyFont="1" applyBorder="1"/>
    <xf numFmtId="165" fontId="3" fillId="0" borderId="5" xfId="1" applyNumberFormat="1" applyFont="1" applyBorder="1"/>
    <xf numFmtId="166" fontId="3" fillId="0" borderId="5" xfId="2" applyNumberFormat="1" applyFont="1" applyBorder="1"/>
    <xf numFmtId="167" fontId="3" fillId="0" borderId="5" xfId="0" applyNumberFormat="1" applyFont="1" applyBorder="1"/>
    <xf numFmtId="166" fontId="3" fillId="0" borderId="5" xfId="2" applyNumberFormat="1" applyFont="1" applyFill="1" applyBorder="1"/>
    <xf numFmtId="168" fontId="3" fillId="0" borderId="5" xfId="0" applyNumberFormat="1" applyFont="1" applyBorder="1"/>
    <xf numFmtId="169" fontId="3" fillId="0" borderId="5" xfId="0" applyNumberFormat="1" applyFont="1" applyBorder="1"/>
    <xf numFmtId="0" fontId="3" fillId="0" borderId="5" xfId="0" applyFont="1" applyBorder="1"/>
    <xf numFmtId="14" fontId="0" fillId="0" borderId="5" xfId="0" applyNumberFormat="1" applyBorder="1"/>
    <xf numFmtId="169" fontId="0" fillId="0" borderId="5" xfId="0" applyNumberFormat="1" applyBorder="1"/>
    <xf numFmtId="0" fontId="0" fillId="0" borderId="5" xfId="0" applyBorder="1"/>
    <xf numFmtId="168" fontId="0" fillId="3" borderId="0" xfId="0" applyNumberFormat="1" applyFill="1"/>
    <xf numFmtId="165" fontId="0" fillId="3" borderId="0" xfId="1" applyNumberFormat="1" applyFont="1" applyFill="1"/>
    <xf numFmtId="166" fontId="0" fillId="3" borderId="0" xfId="2" applyNumberFormat="1" applyFont="1" applyFill="1"/>
    <xf numFmtId="14" fontId="0" fillId="0" borderId="3" xfId="0" applyNumberFormat="1" applyBorder="1"/>
    <xf numFmtId="165" fontId="0" fillId="0" borderId="3" xfId="1" applyNumberFormat="1" applyFont="1" applyBorder="1"/>
    <xf numFmtId="166" fontId="0" fillId="0" borderId="3" xfId="2" applyNumberFormat="1" applyFont="1" applyBorder="1"/>
    <xf numFmtId="167" fontId="0" fillId="0" borderId="3" xfId="0" applyNumberFormat="1" applyBorder="1"/>
    <xf numFmtId="165" fontId="0" fillId="3" borderId="3" xfId="1" applyNumberFormat="1" applyFont="1" applyFill="1" applyBorder="1"/>
    <xf numFmtId="166" fontId="0" fillId="3" borderId="3" xfId="2" applyNumberFormat="1" applyFont="1" applyFill="1" applyBorder="1"/>
    <xf numFmtId="168" fontId="0" fillId="3" borderId="3" xfId="0" applyNumberFormat="1" applyFill="1" applyBorder="1"/>
    <xf numFmtId="168" fontId="0" fillId="0" borderId="3" xfId="0" applyNumberFormat="1" applyBorder="1"/>
    <xf numFmtId="169" fontId="0" fillId="0" borderId="3" xfId="0" applyNumberFormat="1" applyBorder="1"/>
    <xf numFmtId="166" fontId="0" fillId="0" borderId="5" xfId="2" applyNumberFormat="1" applyFont="1" applyFill="1" applyBorder="1"/>
    <xf numFmtId="165" fontId="0" fillId="0" borderId="5" xfId="1" applyNumberFormat="1" applyFont="1" applyFill="1" applyBorder="1"/>
    <xf numFmtId="167" fontId="0" fillId="0" borderId="5" xfId="0" applyNumberFormat="1" applyBorder="1"/>
    <xf numFmtId="168" fontId="0" fillId="0" borderId="5" xfId="0" applyNumberFormat="1" applyBorder="1"/>
    <xf numFmtId="14" fontId="0" fillId="0" borderId="6" xfId="0" applyNumberFormat="1" applyBorder="1"/>
    <xf numFmtId="165" fontId="0" fillId="0" borderId="6" xfId="1" applyNumberFormat="1" applyFont="1" applyBorder="1"/>
    <xf numFmtId="166" fontId="0" fillId="0" borderId="6" xfId="2" applyNumberFormat="1" applyFont="1" applyFill="1" applyBorder="1"/>
    <xf numFmtId="167" fontId="0" fillId="0" borderId="6" xfId="0" applyNumberFormat="1" applyBorder="1"/>
    <xf numFmtId="165" fontId="0" fillId="0" borderId="6" xfId="1" applyNumberFormat="1" applyFont="1" applyFill="1" applyBorder="1"/>
    <xf numFmtId="168" fontId="0" fillId="0" borderId="6" xfId="0" applyNumberFormat="1" applyBorder="1"/>
    <xf numFmtId="169" fontId="0" fillId="0" borderId="6" xfId="0" applyNumberFormat="1" applyBorder="1"/>
    <xf numFmtId="166" fontId="0" fillId="0" borderId="3" xfId="2" applyNumberFormat="1" applyFont="1" applyFill="1" applyBorder="1"/>
    <xf numFmtId="165" fontId="0" fillId="0" borderId="3" xfId="1" applyNumberFormat="1" applyFont="1" applyFill="1" applyBorder="1"/>
    <xf numFmtId="166" fontId="0" fillId="0" borderId="1" xfId="2" applyNumberFormat="1" applyFont="1" applyFill="1" applyBorder="1"/>
    <xf numFmtId="166" fontId="0" fillId="0" borderId="6" xfId="2" applyNumberFormat="1" applyFont="1" applyBorder="1"/>
    <xf numFmtId="165" fontId="0" fillId="2" borderId="0" xfId="1" applyNumberFormat="1" applyFont="1" applyFill="1"/>
    <xf numFmtId="166" fontId="0" fillId="2" borderId="0" xfId="2" applyNumberFormat="1" applyFont="1" applyFill="1"/>
  </cellXfs>
  <cellStyles count="3">
    <cellStyle name="Dziesiętny" xfId="1" builtinId="3"/>
    <cellStyle name="Normalny" xfId="0" builtinId="0"/>
    <cellStyle name="Procentowy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4FB34-5A35-4F36-B452-4D01E10746AE}">
  <sheetPr>
    <tabColor rgb="FFFFFF00"/>
  </sheetPr>
  <dimension ref="A1:Z2558"/>
  <sheetViews>
    <sheetView tabSelected="1" zoomScale="110" zoomScaleNormal="110" workbookViewId="0">
      <pane ySplit="1" topLeftCell="A2182" activePane="bottomLeft" state="frozen"/>
      <selection pane="bottomLeft" activeCell="E2201" sqref="E2201:O2209"/>
    </sheetView>
  </sheetViews>
  <sheetFormatPr defaultColWidth="8.625" defaultRowHeight="14.25"/>
  <cols>
    <col min="1" max="1" width="10.125" bestFit="1" customWidth="1"/>
    <col min="2" max="2" width="8.625" style="8"/>
    <col min="3" max="3" width="7.5" style="9" customWidth="1"/>
    <col min="4" max="4" width="7.125" style="10" customWidth="1"/>
    <col min="5" max="5" width="8.125" style="8" customWidth="1"/>
    <col min="6" max="6" width="7.625" style="10" customWidth="1"/>
    <col min="7" max="7" width="10.125" style="9" customWidth="1"/>
    <col min="8" max="8" width="10.125" style="10" customWidth="1"/>
    <col min="9" max="9" width="8.625" style="11"/>
    <col min="10" max="10" width="10.125" style="11" bestFit="1" customWidth="1"/>
    <col min="11" max="14" width="8.625" style="11"/>
    <col min="15" max="17" width="8.625" style="12"/>
    <col min="25" max="26" width="10.125" bestFit="1" customWidth="1"/>
  </cols>
  <sheetData>
    <row r="1" spans="1:17" ht="28.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4" t="s">
        <v>5</v>
      </c>
      <c r="G1" s="3" t="s">
        <v>2</v>
      </c>
      <c r="H1" s="4" t="s">
        <v>3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/>
      <c r="O1" s="6"/>
      <c r="P1" s="6"/>
      <c r="Q1" s="6"/>
    </row>
    <row r="2" spans="1:17">
      <c r="A2" s="7">
        <v>43831</v>
      </c>
      <c r="B2" s="8">
        <v>100</v>
      </c>
      <c r="E2" s="8">
        <v>101.7</v>
      </c>
      <c r="F2" s="10">
        <f>E2</f>
        <v>101.7</v>
      </c>
    </row>
    <row r="3" spans="1:17">
      <c r="A3" s="7">
        <v>43832</v>
      </c>
      <c r="B3" s="8">
        <v>99.944444444444443</v>
      </c>
      <c r="E3" s="8">
        <v>100.9</v>
      </c>
      <c r="F3" s="10">
        <f>AVERAGE($E$2,E3)</f>
        <v>101.30000000000001</v>
      </c>
    </row>
    <row r="4" spans="1:17">
      <c r="A4" s="7">
        <v>43833</v>
      </c>
      <c r="B4" s="8">
        <v>99.888888888888886</v>
      </c>
      <c r="E4" s="8">
        <v>100.4</v>
      </c>
      <c r="F4" s="10">
        <f>AVERAGE($E$2:E4)</f>
        <v>101</v>
      </c>
    </row>
    <row r="5" spans="1:17">
      <c r="A5" s="7">
        <v>43834</v>
      </c>
      <c r="B5" s="8">
        <v>99.833333333333329</v>
      </c>
      <c r="E5" s="8">
        <v>100.5</v>
      </c>
      <c r="F5" s="10">
        <f>AVERAGE($E$2:E5)</f>
        <v>100.875</v>
      </c>
    </row>
    <row r="6" spans="1:17">
      <c r="A6" s="7">
        <v>43835</v>
      </c>
      <c r="B6" s="8">
        <v>99.777777777777771</v>
      </c>
      <c r="E6" s="8">
        <v>102</v>
      </c>
      <c r="F6" s="10">
        <f>AVERAGE($E$2:E6)</f>
        <v>101.1</v>
      </c>
    </row>
    <row r="7" spans="1:17">
      <c r="A7" s="7">
        <v>43836</v>
      </c>
      <c r="B7" s="8">
        <v>99.722222222222214</v>
      </c>
      <c r="E7" s="8">
        <v>102</v>
      </c>
      <c r="F7" s="10">
        <f>AVERAGE($E$2:E7)</f>
        <v>101.25</v>
      </c>
    </row>
    <row r="8" spans="1:17">
      <c r="A8" s="7">
        <v>43837</v>
      </c>
      <c r="B8" s="8">
        <v>99.666666666666657</v>
      </c>
      <c r="E8" s="8">
        <v>102</v>
      </c>
      <c r="F8" s="10">
        <f>AVERAGE($E$2:E8)</f>
        <v>101.35714285714286</v>
      </c>
    </row>
    <row r="9" spans="1:17">
      <c r="A9" s="7">
        <v>43838</v>
      </c>
      <c r="B9" s="8">
        <v>99.6111111111111</v>
      </c>
      <c r="E9" s="8">
        <v>100.3</v>
      </c>
      <c r="F9" s="10">
        <f>AVERAGE($E$2:E9)</f>
        <v>101.22499999999999</v>
      </c>
    </row>
    <row r="10" spans="1:17">
      <c r="A10" s="7">
        <v>43839</v>
      </c>
      <c r="B10" s="8">
        <v>99.555555555555543</v>
      </c>
      <c r="E10" s="8">
        <v>100.2</v>
      </c>
      <c r="F10" s="10">
        <f>AVERAGE($E$2:E10)</f>
        <v>101.11111111111111</v>
      </c>
    </row>
    <row r="11" spans="1:17">
      <c r="A11" s="7">
        <v>43840</v>
      </c>
      <c r="B11" s="8">
        <v>99.499999999999986</v>
      </c>
      <c r="E11" s="8">
        <v>100.2</v>
      </c>
      <c r="F11" s="10">
        <f>AVERAGE($E$2:E11)</f>
        <v>101.02000000000001</v>
      </c>
    </row>
    <row r="12" spans="1:17">
      <c r="A12" s="7">
        <v>43841</v>
      </c>
      <c r="B12" s="8">
        <v>99.444444444444429</v>
      </c>
      <c r="E12" s="8">
        <v>99.8</v>
      </c>
      <c r="F12" s="10">
        <f>AVERAGE($E$2:E12)</f>
        <v>100.90909090909091</v>
      </c>
    </row>
    <row r="13" spans="1:17">
      <c r="A13" s="7">
        <v>43842</v>
      </c>
      <c r="B13" s="8">
        <v>99.388888888888872</v>
      </c>
      <c r="E13" s="8">
        <v>101.4</v>
      </c>
      <c r="F13" s="10">
        <f>AVERAGE($E$2:E13)</f>
        <v>100.95</v>
      </c>
    </row>
    <row r="14" spans="1:17">
      <c r="A14" s="7">
        <v>43843</v>
      </c>
      <c r="B14" s="8">
        <v>99.333333333333314</v>
      </c>
      <c r="E14" s="8">
        <v>101.6</v>
      </c>
      <c r="F14" s="10">
        <f>AVERAGE($E$2:E14)</f>
        <v>101</v>
      </c>
    </row>
    <row r="15" spans="1:17">
      <c r="A15" s="7">
        <v>43844</v>
      </c>
      <c r="B15" s="8">
        <v>99.277777777777757</v>
      </c>
      <c r="E15" s="8">
        <v>101.2</v>
      </c>
      <c r="F15" s="10">
        <f>AVERAGE($E$2:E15)</f>
        <v>101.01428571428572</v>
      </c>
    </row>
    <row r="16" spans="1:17">
      <c r="A16" s="7">
        <v>43845</v>
      </c>
      <c r="B16" s="8">
        <v>99.2222222222222</v>
      </c>
      <c r="E16" s="8">
        <v>100.1</v>
      </c>
      <c r="F16" s="10">
        <f>AVERAGE($E$2:E16)</f>
        <v>100.95333333333333</v>
      </c>
    </row>
    <row r="17" spans="1:6">
      <c r="A17" s="7">
        <v>43846</v>
      </c>
      <c r="B17" s="8">
        <v>99.166666666666643</v>
      </c>
      <c r="E17" s="8">
        <v>100</v>
      </c>
      <c r="F17" s="10">
        <f>AVERAGE($E$2:E17)</f>
        <v>100.89375</v>
      </c>
    </row>
    <row r="18" spans="1:6">
      <c r="A18" s="7">
        <v>43847</v>
      </c>
      <c r="B18" s="8">
        <v>99.111111111111086</v>
      </c>
      <c r="E18" s="8">
        <v>99.7</v>
      </c>
      <c r="F18" s="10">
        <f>AVERAGE($E$2:E18)</f>
        <v>100.82352941176471</v>
      </c>
    </row>
    <row r="19" spans="1:6">
      <c r="A19" s="7">
        <v>43848</v>
      </c>
      <c r="B19" s="8">
        <v>99.055555555555529</v>
      </c>
      <c r="E19" s="8">
        <v>99.7</v>
      </c>
      <c r="F19" s="10">
        <f>AVERAGE($E$2:E19)</f>
        <v>100.76111111111112</v>
      </c>
    </row>
    <row r="20" spans="1:6">
      <c r="A20" s="7">
        <v>43849</v>
      </c>
      <c r="B20" s="8">
        <v>98.999999999999972</v>
      </c>
      <c r="E20" s="8">
        <v>100.3</v>
      </c>
      <c r="F20" s="10">
        <f>AVERAGE($E$2:E20)</f>
        <v>100.73684210526316</v>
      </c>
    </row>
    <row r="21" spans="1:6">
      <c r="A21" s="7">
        <v>43850</v>
      </c>
      <c r="B21" s="8">
        <v>98.944444444444414</v>
      </c>
      <c r="E21" s="8">
        <v>100.9</v>
      </c>
      <c r="F21" s="10">
        <f>AVERAGE($E$2:E21)</f>
        <v>100.745</v>
      </c>
    </row>
    <row r="22" spans="1:6">
      <c r="A22" s="7">
        <v>43851</v>
      </c>
      <c r="B22" s="8">
        <v>98.888888888888857</v>
      </c>
      <c r="E22" s="8">
        <v>101</v>
      </c>
      <c r="F22" s="10">
        <f>AVERAGE($E$2:E22)</f>
        <v>100.75714285714287</v>
      </c>
    </row>
    <row r="23" spans="1:6">
      <c r="A23" s="7">
        <v>43852</v>
      </c>
      <c r="B23" s="8">
        <v>98.8333333333333</v>
      </c>
      <c r="E23" s="8">
        <v>101</v>
      </c>
      <c r="F23" s="10">
        <f>AVERAGE($E$2:E23)</f>
        <v>100.76818181818182</v>
      </c>
    </row>
    <row r="24" spans="1:6">
      <c r="A24" s="7">
        <v>43853</v>
      </c>
      <c r="B24" s="8">
        <v>98.777777777777743</v>
      </c>
      <c r="E24" s="8">
        <v>101</v>
      </c>
      <c r="F24" s="10">
        <f>AVERAGE($E$2:E24)</f>
        <v>100.77826086956522</v>
      </c>
    </row>
    <row r="25" spans="1:6">
      <c r="A25" s="7">
        <v>43854</v>
      </c>
      <c r="B25" s="8">
        <v>98.722222222222186</v>
      </c>
      <c r="E25" s="8">
        <v>100.5</v>
      </c>
      <c r="F25" s="10">
        <f>AVERAGE($E$2:E25)</f>
        <v>100.76666666666667</v>
      </c>
    </row>
    <row r="26" spans="1:6">
      <c r="A26" s="7">
        <v>43855</v>
      </c>
      <c r="B26" s="8">
        <v>98.666666666666629</v>
      </c>
      <c r="E26" s="8">
        <v>99.8</v>
      </c>
      <c r="F26" s="10">
        <f>AVERAGE($E$2:E26)</f>
        <v>100.72800000000001</v>
      </c>
    </row>
    <row r="27" spans="1:6">
      <c r="A27" s="7">
        <v>43856</v>
      </c>
      <c r="B27" s="8">
        <v>98.611111111111072</v>
      </c>
      <c r="E27" s="8">
        <v>101.3</v>
      </c>
      <c r="F27" s="10">
        <f>AVERAGE($E$2:E27)</f>
        <v>100.75000000000001</v>
      </c>
    </row>
    <row r="28" spans="1:6">
      <c r="A28" s="7">
        <v>43857</v>
      </c>
      <c r="B28" s="8">
        <v>98.555555555555515</v>
      </c>
      <c r="E28" s="8">
        <v>101.6</v>
      </c>
      <c r="F28" s="10">
        <f>AVERAGE($E$2:E28)</f>
        <v>100.78148148148149</v>
      </c>
    </row>
    <row r="29" spans="1:6">
      <c r="A29" s="7">
        <v>43858</v>
      </c>
      <c r="B29" s="8">
        <v>98.499999999999957</v>
      </c>
      <c r="E29" s="8">
        <v>100.8</v>
      </c>
      <c r="F29" s="10">
        <f>AVERAGE($E$2:E29)</f>
        <v>100.78214285714287</v>
      </c>
    </row>
    <row r="30" spans="1:6">
      <c r="A30" s="7">
        <v>43859</v>
      </c>
      <c r="B30" s="8">
        <v>98.4444444444444</v>
      </c>
      <c r="E30" s="8">
        <v>100.8</v>
      </c>
      <c r="F30" s="10">
        <f>AVERAGE($E$2:E30)</f>
        <v>100.78275862068968</v>
      </c>
    </row>
    <row r="31" spans="1:6">
      <c r="A31" s="7">
        <v>43860</v>
      </c>
      <c r="B31" s="8">
        <v>98.388888888888843</v>
      </c>
      <c r="E31" s="8">
        <v>100.6</v>
      </c>
      <c r="F31" s="10">
        <f>AVERAGE($E$2:E31)</f>
        <v>100.77666666666669</v>
      </c>
    </row>
    <row r="32" spans="1:6">
      <c r="A32" s="7">
        <v>43861</v>
      </c>
      <c r="B32" s="8">
        <v>98.333333333333286</v>
      </c>
      <c r="E32" s="8">
        <v>99.5</v>
      </c>
      <c r="F32" s="10">
        <f>AVERAGE($E$2:E32)</f>
        <v>100.73548387096777</v>
      </c>
    </row>
    <row r="33" spans="1:6">
      <c r="A33" s="7">
        <v>43862</v>
      </c>
      <c r="B33" s="8">
        <v>99.968817204301033</v>
      </c>
      <c r="E33" s="8">
        <v>99.7</v>
      </c>
      <c r="F33" s="10">
        <f>AVERAGE($E$2:E33)</f>
        <v>100.70312500000001</v>
      </c>
    </row>
    <row r="34" spans="1:6">
      <c r="A34" s="7">
        <v>43863</v>
      </c>
      <c r="B34" s="8">
        <v>99.90215053763437</v>
      </c>
      <c r="E34" s="8">
        <v>100.6</v>
      </c>
      <c r="F34" s="10">
        <f>AVERAGE($E$2:E34)</f>
        <v>100.70000000000002</v>
      </c>
    </row>
    <row r="35" spans="1:6">
      <c r="A35" s="7">
        <v>43864</v>
      </c>
      <c r="B35" s="8">
        <v>99.835483870967707</v>
      </c>
      <c r="E35" s="8">
        <v>100.9</v>
      </c>
      <c r="F35" s="10">
        <f>AVERAGE($E$2:E35)</f>
        <v>100.70588235294119</v>
      </c>
    </row>
    <row r="36" spans="1:6">
      <c r="A36" s="7">
        <v>43865</v>
      </c>
      <c r="B36" s="8">
        <v>99.768817204301044</v>
      </c>
      <c r="E36" s="8">
        <v>99.4</v>
      </c>
      <c r="F36" s="10">
        <f>AVERAGE($E$2:E36)</f>
        <v>100.66857142857144</v>
      </c>
    </row>
    <row r="37" spans="1:6">
      <c r="A37" s="7">
        <v>43866</v>
      </c>
      <c r="B37" s="8">
        <v>99.702150537634381</v>
      </c>
      <c r="E37" s="8">
        <v>98.5</v>
      </c>
      <c r="F37" s="10">
        <f>AVERAGE($E$2:E37)</f>
        <v>100.60833333333335</v>
      </c>
    </row>
    <row r="38" spans="1:6">
      <c r="A38" s="7">
        <v>43867</v>
      </c>
      <c r="B38" s="8">
        <v>99.635483870967718</v>
      </c>
      <c r="E38" s="8">
        <v>98.8</v>
      </c>
      <c r="F38" s="10">
        <f>AVERAGE($E$2:E38)</f>
        <v>100.55945945945948</v>
      </c>
    </row>
    <row r="39" spans="1:6">
      <c r="A39" s="7">
        <v>43868</v>
      </c>
      <c r="B39" s="8">
        <v>99.568817204301055</v>
      </c>
      <c r="E39" s="8">
        <v>98.7</v>
      </c>
      <c r="F39" s="10">
        <f>AVERAGE($E$2:E39)</f>
        <v>100.51052631578949</v>
      </c>
    </row>
    <row r="40" spans="1:6">
      <c r="A40" s="7">
        <v>43869</v>
      </c>
      <c r="B40" s="8">
        <v>99.502150537634392</v>
      </c>
      <c r="E40" s="8">
        <v>99</v>
      </c>
      <c r="F40" s="10">
        <f>AVERAGE($E$2:E40)</f>
        <v>100.47179487179488</v>
      </c>
    </row>
    <row r="41" spans="1:6">
      <c r="A41" s="7">
        <v>43870</v>
      </c>
      <c r="B41" s="8">
        <v>99.43548387096773</v>
      </c>
      <c r="E41" s="8">
        <v>100.4</v>
      </c>
      <c r="F41" s="10">
        <f>AVERAGE($E$2:E41)</f>
        <v>100.47000000000001</v>
      </c>
    </row>
    <row r="42" spans="1:6">
      <c r="A42" s="7">
        <v>43871</v>
      </c>
      <c r="B42" s="8">
        <v>99.368817204301067</v>
      </c>
      <c r="E42" s="8">
        <v>100.8</v>
      </c>
      <c r="F42" s="10">
        <f>AVERAGE($E$2:E42)</f>
        <v>100.47804878048781</v>
      </c>
    </row>
    <row r="43" spans="1:6">
      <c r="A43" s="7">
        <v>43872</v>
      </c>
      <c r="B43" s="8">
        <v>99.302150537634404</v>
      </c>
      <c r="E43" s="8">
        <v>100.3</v>
      </c>
      <c r="F43" s="10">
        <f>AVERAGE($E$2:E43)</f>
        <v>100.47380952380954</v>
      </c>
    </row>
    <row r="44" spans="1:6">
      <c r="A44" s="7">
        <v>43873</v>
      </c>
      <c r="B44" s="8">
        <v>99.235483870967741</v>
      </c>
      <c r="E44" s="8">
        <v>99.5</v>
      </c>
      <c r="F44" s="10">
        <f>AVERAGE($E$2:E44)</f>
        <v>100.45116279069769</v>
      </c>
    </row>
    <row r="45" spans="1:6">
      <c r="A45" s="7">
        <v>43874</v>
      </c>
      <c r="B45" s="8">
        <v>99.168817204301078</v>
      </c>
      <c r="E45" s="8">
        <v>99.7</v>
      </c>
      <c r="F45" s="10">
        <f>AVERAGE($E$2:E45)</f>
        <v>100.43409090909091</v>
      </c>
    </row>
    <row r="46" spans="1:6">
      <c r="A46" s="7">
        <v>43875</v>
      </c>
      <c r="B46" s="8">
        <v>99.102150537634415</v>
      </c>
      <c r="E46" s="8">
        <v>99.4</v>
      </c>
      <c r="F46" s="10">
        <f>AVERAGE($E$2:E46)</f>
        <v>100.41111111111111</v>
      </c>
    </row>
    <row r="47" spans="1:6">
      <c r="A47" s="7">
        <v>43876</v>
      </c>
      <c r="B47" s="8">
        <v>99.035483870967752</v>
      </c>
      <c r="E47" s="8">
        <v>99.1</v>
      </c>
      <c r="F47" s="10">
        <f>AVERAGE($E$2:E47)</f>
        <v>100.38260869565218</v>
      </c>
    </row>
    <row r="48" spans="1:6">
      <c r="A48" s="7">
        <v>43877</v>
      </c>
      <c r="B48" s="8">
        <v>98.968817204301089</v>
      </c>
      <c r="E48" s="8">
        <v>99.3</v>
      </c>
      <c r="F48" s="10">
        <f>AVERAGE($E$2:E48)</f>
        <v>100.35957446808511</v>
      </c>
    </row>
    <row r="49" spans="1:6">
      <c r="A49" s="7">
        <v>43878</v>
      </c>
      <c r="B49" s="8">
        <v>98.902150537634427</v>
      </c>
      <c r="E49" s="8">
        <v>99.5</v>
      </c>
      <c r="F49" s="10">
        <f>AVERAGE($E$2:E49)</f>
        <v>100.34166666666668</v>
      </c>
    </row>
    <row r="50" spans="1:6">
      <c r="A50" s="7">
        <v>43879</v>
      </c>
      <c r="B50" s="8">
        <v>98.835483870967764</v>
      </c>
      <c r="E50" s="8">
        <v>98.7</v>
      </c>
      <c r="F50" s="10">
        <f>AVERAGE($E$2:E50)</f>
        <v>100.30816326530613</v>
      </c>
    </row>
    <row r="51" spans="1:6">
      <c r="A51" s="7">
        <v>43880</v>
      </c>
      <c r="B51" s="8">
        <v>98.768817204301101</v>
      </c>
      <c r="E51" s="8">
        <v>99.3</v>
      </c>
      <c r="F51" s="10">
        <f>AVERAGE($E$2:E51)</f>
        <v>100.28800000000001</v>
      </c>
    </row>
    <row r="52" spans="1:6">
      <c r="A52" s="7">
        <v>43881</v>
      </c>
      <c r="B52" s="8">
        <v>98.702150537634438</v>
      </c>
      <c r="E52" s="8">
        <v>98.7</v>
      </c>
      <c r="F52" s="10">
        <f>AVERAGE($E$2:E52)</f>
        <v>100.25686274509805</v>
      </c>
    </row>
    <row r="53" spans="1:6">
      <c r="A53" s="7">
        <v>43882</v>
      </c>
      <c r="B53" s="8">
        <v>98.635483870967775</v>
      </c>
      <c r="E53" s="8">
        <v>99.1</v>
      </c>
      <c r="F53" s="10">
        <f>AVERAGE($E$2:E53)</f>
        <v>100.2346153846154</v>
      </c>
    </row>
    <row r="54" spans="1:6">
      <c r="A54" s="7">
        <v>43883</v>
      </c>
      <c r="B54" s="8">
        <v>98.568817204301112</v>
      </c>
      <c r="E54" s="8">
        <v>98.2</v>
      </c>
      <c r="F54" s="10">
        <f>AVERAGE($E$2:E54)</f>
        <v>100.19622641509434</v>
      </c>
    </row>
    <row r="55" spans="1:6">
      <c r="A55" s="7">
        <v>43884</v>
      </c>
      <c r="B55" s="8">
        <v>98.502150537634449</v>
      </c>
      <c r="E55" s="8">
        <v>98.9</v>
      </c>
      <c r="F55" s="10">
        <f>AVERAGE($E$2:E55)</f>
        <v>100.17222222222223</v>
      </c>
    </row>
    <row r="56" spans="1:6">
      <c r="A56" s="7">
        <v>43885</v>
      </c>
      <c r="B56" s="8">
        <v>98.435483870967786</v>
      </c>
      <c r="E56" s="8">
        <v>99.5</v>
      </c>
      <c r="F56" s="10">
        <f>AVERAGE($E$2:E56)</f>
        <v>100.16</v>
      </c>
    </row>
    <row r="57" spans="1:6">
      <c r="A57" s="7">
        <v>43886</v>
      </c>
      <c r="B57" s="8">
        <v>98.368817204301124</v>
      </c>
      <c r="E57" s="8">
        <v>99.3</v>
      </c>
      <c r="F57" s="10">
        <f>AVERAGE($E$2:E57)</f>
        <v>100.14464285714287</v>
      </c>
    </row>
    <row r="58" spans="1:6">
      <c r="A58" s="7">
        <v>43887</v>
      </c>
      <c r="B58" s="8">
        <v>98.302150537634461</v>
      </c>
      <c r="E58" s="8">
        <v>98.6</v>
      </c>
      <c r="F58" s="10">
        <f>AVERAGE($E$2:E58)</f>
        <v>100.11754385964913</v>
      </c>
    </row>
    <row r="59" spans="1:6">
      <c r="A59" s="7">
        <v>43888</v>
      </c>
      <c r="B59" s="8">
        <v>98.235483870967798</v>
      </c>
      <c r="E59" s="8">
        <v>98</v>
      </c>
      <c r="F59" s="10">
        <f>AVERAGE($E$2:E59)</f>
        <v>100.08103448275864</v>
      </c>
    </row>
    <row r="60" spans="1:6">
      <c r="A60" s="7">
        <v>43889</v>
      </c>
      <c r="B60" s="8">
        <v>98.168817204301135</v>
      </c>
      <c r="E60" s="8">
        <v>97.1</v>
      </c>
      <c r="F60" s="10">
        <f>AVERAGE($E$2:E60)</f>
        <v>100.03050847457629</v>
      </c>
    </row>
    <row r="61" spans="1:6">
      <c r="A61" s="7">
        <v>43890</v>
      </c>
      <c r="B61" s="8">
        <v>98.102150537634472</v>
      </c>
      <c r="E61" s="8">
        <v>98.1</v>
      </c>
      <c r="F61" s="10">
        <f>AVERAGE($E$2:E61)</f>
        <v>99.998333333333363</v>
      </c>
    </row>
    <row r="62" spans="1:6">
      <c r="A62" s="7">
        <v>43891</v>
      </c>
      <c r="B62" s="8">
        <v>98.035483870967809</v>
      </c>
      <c r="E62" s="8">
        <v>99</v>
      </c>
      <c r="F62" s="10">
        <f>AVERAGE($E$2:E62)</f>
        <v>99.981967213114771</v>
      </c>
    </row>
    <row r="63" spans="1:6">
      <c r="A63" s="7">
        <v>43892</v>
      </c>
      <c r="B63" s="8">
        <v>97.968817204301146</v>
      </c>
      <c r="E63" s="8">
        <v>98.5</v>
      </c>
      <c r="F63" s="10">
        <f>AVERAGE($E$2:E63)</f>
        <v>99.958064516129056</v>
      </c>
    </row>
    <row r="64" spans="1:6">
      <c r="A64" s="7">
        <v>43893</v>
      </c>
      <c r="B64" s="8">
        <v>97.902150537634483</v>
      </c>
      <c r="E64" s="8">
        <v>98.2</v>
      </c>
      <c r="F64" s="10">
        <f>AVERAGE($E$2:E64)</f>
        <v>99.930158730158752</v>
      </c>
    </row>
    <row r="65" spans="1:6">
      <c r="A65" s="7">
        <v>43894</v>
      </c>
      <c r="B65" s="8">
        <v>97.835483870967821</v>
      </c>
      <c r="E65" s="8">
        <v>98</v>
      </c>
      <c r="F65" s="10">
        <f>AVERAGE($E$2:E65)</f>
        <v>99.90000000000002</v>
      </c>
    </row>
    <row r="66" spans="1:6">
      <c r="A66" s="7">
        <v>43895</v>
      </c>
      <c r="B66" s="8">
        <v>97.768817204301158</v>
      </c>
      <c r="E66" s="8">
        <v>96.9</v>
      </c>
      <c r="F66" s="10">
        <f>AVERAGE($E$2:E66)</f>
        <v>99.853846153846163</v>
      </c>
    </row>
    <row r="67" spans="1:6">
      <c r="A67" s="7">
        <v>43896</v>
      </c>
      <c r="B67" s="8">
        <v>97.702150537634495</v>
      </c>
      <c r="E67" s="8">
        <v>97.5</v>
      </c>
      <c r="F67" s="10">
        <f>AVERAGE($E$2:E67)</f>
        <v>99.818181818181827</v>
      </c>
    </row>
    <row r="68" spans="1:6">
      <c r="A68" s="7">
        <v>43897</v>
      </c>
      <c r="B68" s="8">
        <v>97.635483870967832</v>
      </c>
      <c r="E68" s="8">
        <v>97.7</v>
      </c>
      <c r="F68" s="10">
        <f>AVERAGE($E$2:E68)</f>
        <v>99.786567164179118</v>
      </c>
    </row>
    <row r="69" spans="1:6">
      <c r="A69" s="7">
        <v>43898</v>
      </c>
      <c r="B69" s="8">
        <v>97.568817204301169</v>
      </c>
      <c r="E69" s="8">
        <v>98.4</v>
      </c>
      <c r="F69" s="10">
        <f>AVERAGE($E$2:E69)</f>
        <v>99.766176470588235</v>
      </c>
    </row>
    <row r="70" spans="1:6">
      <c r="A70" s="7">
        <v>43899</v>
      </c>
      <c r="B70" s="8">
        <v>97.502150537634506</v>
      </c>
      <c r="E70" s="8">
        <v>98</v>
      </c>
      <c r="F70" s="10">
        <f>AVERAGE($E$2:E70)</f>
        <v>99.740579710144928</v>
      </c>
    </row>
    <row r="71" spans="1:6">
      <c r="A71" s="7">
        <v>43900</v>
      </c>
      <c r="B71" s="8">
        <v>97.435483870967843</v>
      </c>
      <c r="E71" s="8">
        <v>97.9</v>
      </c>
      <c r="F71" s="10">
        <f>AVERAGE($E$2:E71)</f>
        <v>99.714285714285708</v>
      </c>
    </row>
    <row r="72" spans="1:6">
      <c r="A72" s="7">
        <v>43901</v>
      </c>
      <c r="B72" s="8">
        <v>97.36881720430118</v>
      </c>
      <c r="E72" s="8">
        <v>98</v>
      </c>
      <c r="F72" s="10">
        <f>AVERAGE($E$2:E72)</f>
        <v>99.690140845070417</v>
      </c>
    </row>
    <row r="73" spans="1:6">
      <c r="A73" s="7">
        <v>43902</v>
      </c>
      <c r="B73" s="8">
        <v>97.302150537634517</v>
      </c>
      <c r="E73" s="8">
        <v>98.1</v>
      </c>
      <c r="F73" s="10">
        <f>AVERAGE($E$2:E73)</f>
        <v>99.668055555555554</v>
      </c>
    </row>
    <row r="74" spans="1:6">
      <c r="A74" s="7">
        <v>43903</v>
      </c>
      <c r="B74" s="8">
        <v>97.235483870967855</v>
      </c>
      <c r="E74" s="8">
        <v>98</v>
      </c>
      <c r="F74" s="10">
        <f>AVERAGE($E$2:E74)</f>
        <v>99.645205479452059</v>
      </c>
    </row>
    <row r="75" spans="1:6">
      <c r="A75" s="7">
        <v>43904</v>
      </c>
      <c r="B75" s="8">
        <v>97.168817204301192</v>
      </c>
      <c r="E75" s="8">
        <v>98</v>
      </c>
      <c r="F75" s="10">
        <f>AVERAGE($E$2:E75)</f>
        <v>99.622972972972974</v>
      </c>
    </row>
    <row r="76" spans="1:6">
      <c r="A76" s="7">
        <v>43905</v>
      </c>
      <c r="B76" s="8">
        <v>97.102150537634529</v>
      </c>
      <c r="E76" s="8">
        <v>98.3</v>
      </c>
      <c r="F76" s="10">
        <f>AVERAGE($E$2:E76)</f>
        <v>99.605333333333334</v>
      </c>
    </row>
    <row r="77" spans="1:6">
      <c r="A77" s="7">
        <v>43906</v>
      </c>
      <c r="B77" s="8">
        <v>97.035483870967866</v>
      </c>
      <c r="E77" s="8">
        <v>98.6</v>
      </c>
      <c r="F77" s="10">
        <f>AVERAGE($E$2:E77)</f>
        <v>99.592105263157904</v>
      </c>
    </row>
    <row r="78" spans="1:6">
      <c r="A78" s="7">
        <v>43907</v>
      </c>
      <c r="B78" s="8">
        <v>96.968817204301203</v>
      </c>
      <c r="E78" s="8">
        <v>98.1</v>
      </c>
      <c r="F78" s="10">
        <f>AVERAGE($E$2:E78)</f>
        <v>99.572727272727292</v>
      </c>
    </row>
    <row r="79" spans="1:6">
      <c r="A79" s="7">
        <v>43908</v>
      </c>
      <c r="B79" s="8">
        <v>96.90215053763454</v>
      </c>
      <c r="E79" s="8">
        <v>98.4</v>
      </c>
      <c r="F79" s="10">
        <f>AVERAGE($E$2:E79)</f>
        <v>99.557692307692321</v>
      </c>
    </row>
    <row r="80" spans="1:6">
      <c r="A80" s="7">
        <v>43909</v>
      </c>
      <c r="B80" s="8">
        <v>96.835483870967877</v>
      </c>
      <c r="E80" s="8">
        <v>98.4</v>
      </c>
      <c r="F80" s="10">
        <f>AVERAGE($E$2:E80)</f>
        <v>99.543037974683557</v>
      </c>
    </row>
    <row r="81" spans="1:6">
      <c r="A81" s="7">
        <v>43910</v>
      </c>
      <c r="B81" s="8">
        <v>96.768817204301214</v>
      </c>
      <c r="E81" s="8">
        <v>98.6</v>
      </c>
      <c r="F81" s="10">
        <f>AVERAGE($E$2:E81)</f>
        <v>99.531250000000014</v>
      </c>
    </row>
    <row r="82" spans="1:6">
      <c r="A82" s="7">
        <v>43911</v>
      </c>
      <c r="B82" s="8">
        <v>96.702150537634552</v>
      </c>
      <c r="E82" s="8">
        <v>98.1</v>
      </c>
      <c r="F82" s="10">
        <f>AVERAGE($E$2:E82)</f>
        <v>99.513580246913591</v>
      </c>
    </row>
    <row r="83" spans="1:6">
      <c r="A83" s="7">
        <v>43912</v>
      </c>
      <c r="B83" s="8">
        <v>96.635483870967889</v>
      </c>
      <c r="E83" s="8">
        <v>97.4</v>
      </c>
      <c r="F83" s="10">
        <f>AVERAGE($E$2:E83)</f>
        <v>99.487804878048792</v>
      </c>
    </row>
    <row r="84" spans="1:6">
      <c r="A84" s="7">
        <v>43913</v>
      </c>
      <c r="B84" s="8">
        <v>96.568817204301226</v>
      </c>
      <c r="E84" s="8">
        <v>98.3</v>
      </c>
      <c r="F84" s="10">
        <f>AVERAGE($E$2:E84)</f>
        <v>99.473493975903622</v>
      </c>
    </row>
    <row r="85" spans="1:6">
      <c r="A85" s="7">
        <v>43914</v>
      </c>
      <c r="B85" s="8">
        <v>96.502150537634563</v>
      </c>
      <c r="E85" s="8">
        <v>97.7</v>
      </c>
      <c r="F85" s="10">
        <f>AVERAGE($E$2:E85)</f>
        <v>99.452380952380977</v>
      </c>
    </row>
    <row r="86" spans="1:6">
      <c r="A86" s="7">
        <v>43915</v>
      </c>
      <c r="B86" s="8">
        <v>96.4354838709679</v>
      </c>
      <c r="E86" s="8">
        <v>97.9</v>
      </c>
      <c r="F86" s="10">
        <f>AVERAGE($E$2:E86)</f>
        <v>99.434117647058841</v>
      </c>
    </row>
    <row r="87" spans="1:6">
      <c r="A87" s="7">
        <v>43916</v>
      </c>
      <c r="B87" s="8">
        <v>96.368817204301237</v>
      </c>
      <c r="E87" s="8">
        <v>97.7</v>
      </c>
      <c r="F87" s="10">
        <f>AVERAGE($E$2:E87)</f>
        <v>99.413953488372115</v>
      </c>
    </row>
    <row r="88" spans="1:6">
      <c r="A88" s="7">
        <v>43917</v>
      </c>
      <c r="B88" s="8">
        <v>96.302150537634574</v>
      </c>
      <c r="E88" s="8">
        <v>98.8</v>
      </c>
      <c r="F88" s="10">
        <f>AVERAGE($E$2:E88)</f>
        <v>99.406896551724159</v>
      </c>
    </row>
    <row r="89" spans="1:6">
      <c r="A89" s="7">
        <v>43918</v>
      </c>
      <c r="B89" s="8">
        <v>96.235483870967911</v>
      </c>
      <c r="E89" s="8">
        <v>98.5</v>
      </c>
      <c r="F89" s="10">
        <f>AVERAGE($E$2:E89)</f>
        <v>99.396590909090932</v>
      </c>
    </row>
    <row r="90" spans="1:6">
      <c r="A90" s="7">
        <v>43919</v>
      </c>
      <c r="B90" s="8">
        <v>96.168817204301249</v>
      </c>
      <c r="E90" s="8">
        <v>98.6</v>
      </c>
      <c r="F90" s="10">
        <f>AVERAGE($E$2:E90)</f>
        <v>99.387640449438223</v>
      </c>
    </row>
    <row r="91" spans="1:6">
      <c r="A91" s="7">
        <v>43920</v>
      </c>
      <c r="B91" s="8">
        <v>96.102150537634586</v>
      </c>
      <c r="E91" s="8">
        <v>97.9</v>
      </c>
      <c r="F91" s="10">
        <f>AVERAGE($E$2:E91)</f>
        <v>99.371111111111134</v>
      </c>
    </row>
    <row r="92" spans="1:6">
      <c r="A92" s="7">
        <v>43921</v>
      </c>
      <c r="B92" s="8">
        <v>96.035483870967923</v>
      </c>
      <c r="E92" s="8">
        <v>98.3</v>
      </c>
      <c r="F92" s="10">
        <f>AVERAGE($E$2:E92)</f>
        <v>99.359340659340674</v>
      </c>
    </row>
    <row r="93" spans="1:6">
      <c r="A93" s="7">
        <v>43922</v>
      </c>
      <c r="B93" s="8">
        <v>97.96881720430126</v>
      </c>
      <c r="E93" s="8">
        <v>97.9</v>
      </c>
      <c r="F93" s="10">
        <f>AVERAGE($E$2:E93)</f>
        <v>99.343478260869574</v>
      </c>
    </row>
    <row r="94" spans="1:6">
      <c r="A94" s="7">
        <v>43923</v>
      </c>
      <c r="B94" s="8">
        <v>97.902150537634597</v>
      </c>
      <c r="E94" s="8">
        <v>98</v>
      </c>
      <c r="F94" s="10">
        <f>AVERAGE($E$2:E94)</f>
        <v>99.329032258064515</v>
      </c>
    </row>
    <row r="95" spans="1:6">
      <c r="A95" s="7">
        <v>43924</v>
      </c>
      <c r="B95" s="8">
        <v>97.835483870967934</v>
      </c>
      <c r="E95" s="8">
        <v>97.8</v>
      </c>
      <c r="F95" s="10">
        <f>AVERAGE($E$2:E95)</f>
        <v>99.3127659574468</v>
      </c>
    </row>
    <row r="96" spans="1:6">
      <c r="A96" s="7">
        <v>43925</v>
      </c>
      <c r="B96" s="8">
        <v>97.768817204301271</v>
      </c>
      <c r="E96" s="8">
        <v>98.5</v>
      </c>
      <c r="F96" s="10">
        <f>AVERAGE($E$2:E96)</f>
        <v>99.304210526315785</v>
      </c>
    </row>
    <row r="97" spans="1:6">
      <c r="A97" s="7">
        <v>43926</v>
      </c>
      <c r="B97" s="8">
        <v>97.702150537634608</v>
      </c>
      <c r="E97" s="8">
        <v>99.4</v>
      </c>
      <c r="F97" s="10">
        <f>AVERAGE($E$2:E97)</f>
        <v>99.305208333333326</v>
      </c>
    </row>
    <row r="98" spans="1:6">
      <c r="A98" s="7">
        <v>43927</v>
      </c>
      <c r="B98" s="8">
        <v>97.635483870967946</v>
      </c>
      <c r="E98" s="8">
        <v>98.5</v>
      </c>
      <c r="F98" s="10">
        <f>AVERAGE($E$2:E98)</f>
        <v>99.296907216494844</v>
      </c>
    </row>
    <row r="99" spans="1:6">
      <c r="A99" s="7">
        <v>43928</v>
      </c>
      <c r="B99" s="8">
        <v>97.568817204301283</v>
      </c>
      <c r="E99" s="8">
        <v>97.8</v>
      </c>
      <c r="F99" s="10">
        <f>AVERAGE($E$2:E99)</f>
        <v>99.281632653061209</v>
      </c>
    </row>
    <row r="100" spans="1:6">
      <c r="A100" s="7">
        <v>43929</v>
      </c>
      <c r="B100" s="8">
        <v>97.50215053763462</v>
      </c>
      <c r="E100" s="8">
        <v>97.9</v>
      </c>
      <c r="F100" s="10">
        <f>AVERAGE($E$2:E100)</f>
        <v>99.267676767676747</v>
      </c>
    </row>
    <row r="101" spans="1:6">
      <c r="A101" s="7">
        <v>43930</v>
      </c>
      <c r="B101" s="8">
        <v>97.435483870967957</v>
      </c>
      <c r="E101" s="8">
        <v>97.5</v>
      </c>
      <c r="F101" s="10">
        <f>AVERAGE($E$2:E101)</f>
        <v>99.249999999999986</v>
      </c>
    </row>
    <row r="102" spans="1:6">
      <c r="A102" s="7">
        <v>43931</v>
      </c>
      <c r="B102" s="8">
        <v>97.368817204301294</v>
      </c>
      <c r="E102" s="8">
        <v>98.5</v>
      </c>
      <c r="F102" s="10">
        <f>AVERAGE($E$2:E102)</f>
        <v>99.24257425742573</v>
      </c>
    </row>
    <row r="103" spans="1:6">
      <c r="A103" s="7">
        <v>43932</v>
      </c>
      <c r="B103" s="8">
        <v>97.302150537634631</v>
      </c>
      <c r="E103" s="8">
        <v>98.3</v>
      </c>
      <c r="F103" s="10">
        <f>AVERAGE($E$2:E103)</f>
        <v>99.233333333333306</v>
      </c>
    </row>
    <row r="104" spans="1:6">
      <c r="A104" s="7">
        <v>43933</v>
      </c>
      <c r="B104" s="8">
        <v>97.235483870967968</v>
      </c>
      <c r="E104" s="8">
        <v>98.3</v>
      </c>
      <c r="F104" s="10">
        <f>AVERAGE($E$2:E104)</f>
        <v>99.224271844660166</v>
      </c>
    </row>
    <row r="105" spans="1:6">
      <c r="A105" s="7">
        <v>43934</v>
      </c>
      <c r="B105" s="8">
        <v>97.168817204301305</v>
      </c>
      <c r="E105" s="8">
        <v>99.1</v>
      </c>
      <c r="F105" s="10">
        <f>AVERAGE($E$2:E105)</f>
        <v>99.223076923076889</v>
      </c>
    </row>
    <row r="106" spans="1:6">
      <c r="A106" s="7">
        <v>43935</v>
      </c>
      <c r="B106" s="8">
        <v>97.102150537634643</v>
      </c>
      <c r="E106" s="8">
        <v>99.5</v>
      </c>
      <c r="F106" s="10">
        <f>AVERAGE($E$2:E106)</f>
        <v>99.225714285714261</v>
      </c>
    </row>
    <row r="107" spans="1:6">
      <c r="A107" s="7">
        <v>43936</v>
      </c>
      <c r="B107" s="8">
        <v>97.03548387096798</v>
      </c>
      <c r="E107" s="8">
        <v>98.3</v>
      </c>
      <c r="F107" s="10">
        <f>AVERAGE($E$2:E107)</f>
        <v>99.216981132075432</v>
      </c>
    </row>
    <row r="108" spans="1:6">
      <c r="A108" s="7">
        <v>43937</v>
      </c>
      <c r="B108" s="8">
        <v>96.968817204301317</v>
      </c>
      <c r="E108" s="8">
        <v>98.4</v>
      </c>
      <c r="F108" s="10">
        <f>AVERAGE($E$2:E108)</f>
        <v>99.20934579439249</v>
      </c>
    </row>
    <row r="109" spans="1:6">
      <c r="A109" s="7">
        <v>43938</v>
      </c>
      <c r="B109" s="8">
        <v>96.902150537634654</v>
      </c>
      <c r="E109" s="8">
        <v>98.1</v>
      </c>
      <c r="F109" s="10">
        <f>AVERAGE($E$2:E109)</f>
        <v>99.199074074074034</v>
      </c>
    </row>
    <row r="110" spans="1:6">
      <c r="A110" s="7">
        <v>43939</v>
      </c>
      <c r="B110" s="8">
        <v>96.835483870967991</v>
      </c>
      <c r="E110" s="8">
        <v>98.9</v>
      </c>
      <c r="F110" s="10">
        <f>AVERAGE($E$2:E110)</f>
        <v>99.196330275229315</v>
      </c>
    </row>
    <row r="111" spans="1:6">
      <c r="A111" s="7">
        <v>43940</v>
      </c>
      <c r="B111" s="8">
        <v>96.768817204301328</v>
      </c>
      <c r="E111" s="8">
        <v>99.1</v>
      </c>
      <c r="F111" s="10">
        <f>AVERAGE($E$2:E111)</f>
        <v>99.19545454545451</v>
      </c>
    </row>
    <row r="112" spans="1:6">
      <c r="A112" s="7">
        <v>43941</v>
      </c>
      <c r="B112" s="8">
        <v>96.702150537634665</v>
      </c>
      <c r="E112" s="8">
        <v>98.9</v>
      </c>
      <c r="F112" s="10">
        <f>AVERAGE($E$2:E112)</f>
        <v>99.192792792792758</v>
      </c>
    </row>
    <row r="113" spans="1:6">
      <c r="A113" s="7">
        <v>43942</v>
      </c>
      <c r="B113" s="8">
        <v>96.635483870968002</v>
      </c>
      <c r="E113" s="8">
        <v>98.3</v>
      </c>
      <c r="F113" s="10">
        <f>AVERAGE($E$2:E113)</f>
        <v>99.184821428571382</v>
      </c>
    </row>
    <row r="114" spans="1:6">
      <c r="A114" s="7">
        <v>43943</v>
      </c>
      <c r="B114" s="8">
        <v>96.56881720430134</v>
      </c>
      <c r="E114" s="8">
        <v>97.7</v>
      </c>
      <c r="F114" s="10">
        <f>AVERAGE($E$2:E114)</f>
        <v>99.171681415929172</v>
      </c>
    </row>
    <row r="115" spans="1:6">
      <c r="A115" s="7">
        <v>43944</v>
      </c>
      <c r="B115" s="8">
        <v>96.502150537634677</v>
      </c>
      <c r="E115" s="8">
        <v>98.4</v>
      </c>
      <c r="F115" s="10">
        <f>AVERAGE($E$2:E115)</f>
        <v>99.164912280701714</v>
      </c>
    </row>
    <row r="116" spans="1:6">
      <c r="A116" s="7">
        <v>43945</v>
      </c>
      <c r="B116" s="8">
        <v>96.435483870968014</v>
      </c>
      <c r="E116" s="8">
        <v>99</v>
      </c>
      <c r="F116" s="10">
        <f>AVERAGE($E$2:E116)</f>
        <v>99.163478260869525</v>
      </c>
    </row>
    <row r="117" spans="1:6">
      <c r="A117" s="7">
        <v>43946</v>
      </c>
      <c r="B117" s="8">
        <v>96.368817204301351</v>
      </c>
      <c r="E117" s="8">
        <v>99.1</v>
      </c>
      <c r="F117" s="10">
        <f>AVERAGE($E$2:E117)</f>
        <v>99.162931034482725</v>
      </c>
    </row>
    <row r="118" spans="1:6">
      <c r="A118" s="7">
        <v>43947</v>
      </c>
      <c r="B118" s="8">
        <v>96.302150537634688</v>
      </c>
      <c r="E118" s="8">
        <v>99.5</v>
      </c>
      <c r="F118" s="10">
        <f>AVERAGE($E$2:E118)</f>
        <v>99.165811965811926</v>
      </c>
    </row>
    <row r="119" spans="1:6">
      <c r="A119" s="7">
        <v>43948</v>
      </c>
      <c r="B119" s="8">
        <v>96.235483870968025</v>
      </c>
      <c r="E119" s="8">
        <v>99.6</v>
      </c>
      <c r="F119" s="10">
        <f>AVERAGE($E$2:E119)</f>
        <v>99.169491525423695</v>
      </c>
    </row>
    <row r="120" spans="1:6">
      <c r="A120" s="7">
        <v>43949</v>
      </c>
      <c r="B120" s="8">
        <v>96.168817204301362</v>
      </c>
      <c r="E120" s="8">
        <v>98.4</v>
      </c>
      <c r="F120" s="10">
        <f>AVERAGE($E$2:E120)</f>
        <v>99.163025210084001</v>
      </c>
    </row>
    <row r="121" spans="1:6">
      <c r="A121" s="7">
        <v>43950</v>
      </c>
      <c r="B121" s="8">
        <v>96.102150537634699</v>
      </c>
      <c r="E121" s="8">
        <v>98.1</v>
      </c>
      <c r="F121" s="10">
        <f>AVERAGE($E$2:E121)</f>
        <v>99.15416666666664</v>
      </c>
    </row>
    <row r="122" spans="1:6">
      <c r="A122" s="7">
        <v>43951</v>
      </c>
      <c r="B122" s="8">
        <v>98.035483870968037</v>
      </c>
      <c r="E122" s="8">
        <v>100</v>
      </c>
      <c r="F122" s="10">
        <f>AVERAGE($E$2:E122)</f>
        <v>99.161157024793354</v>
      </c>
    </row>
    <row r="123" spans="1:6">
      <c r="A123" s="7">
        <v>43952</v>
      </c>
      <c r="B123" s="8">
        <v>97.968817204301374</v>
      </c>
      <c r="E123" s="8">
        <v>98.5</v>
      </c>
      <c r="F123" s="10">
        <f>AVERAGE($E$2:E123)</f>
        <v>99.155737704917996</v>
      </c>
    </row>
    <row r="124" spans="1:6">
      <c r="A124" s="7">
        <v>43953</v>
      </c>
      <c r="B124" s="8">
        <v>97.902150537634711</v>
      </c>
      <c r="E124" s="8">
        <v>98.9</v>
      </c>
      <c r="F124" s="10">
        <f>AVERAGE($E$2:E124)</f>
        <v>99.15365853658534</v>
      </c>
    </row>
    <row r="125" spans="1:6">
      <c r="A125" s="7">
        <v>43954</v>
      </c>
      <c r="B125" s="8">
        <v>97.835483870968048</v>
      </c>
      <c r="E125" s="8">
        <v>99.7</v>
      </c>
      <c r="F125" s="10">
        <f>AVERAGE($E$2:E125)</f>
        <v>99.158064516129002</v>
      </c>
    </row>
    <row r="126" spans="1:6">
      <c r="A126" s="7">
        <v>43955</v>
      </c>
      <c r="B126" s="8">
        <v>97.768817204301385</v>
      </c>
      <c r="E126" s="8">
        <v>99.3</v>
      </c>
      <c r="F126" s="10">
        <f>AVERAGE($E$2:E126)</f>
        <v>99.15919999999997</v>
      </c>
    </row>
    <row r="127" spans="1:6">
      <c r="A127" s="7">
        <v>43956</v>
      </c>
      <c r="B127" s="8">
        <v>97.702150537634722</v>
      </c>
      <c r="E127" s="8">
        <v>98.4</v>
      </c>
      <c r="F127" s="10">
        <f>AVERAGE($E$2:E127)</f>
        <v>99.153174603174563</v>
      </c>
    </row>
    <row r="128" spans="1:6">
      <c r="A128" s="7">
        <v>43957</v>
      </c>
      <c r="B128" s="8">
        <v>97.635483870968059</v>
      </c>
      <c r="E128" s="8">
        <v>98.9</v>
      </c>
      <c r="F128" s="10">
        <f>AVERAGE($E$2:E128)</f>
        <v>99.151181102362173</v>
      </c>
    </row>
    <row r="129" spans="1:6">
      <c r="A129" s="7">
        <v>43958</v>
      </c>
      <c r="B129" s="8">
        <v>97.568817204301396</v>
      </c>
      <c r="E129" s="8">
        <v>98.6</v>
      </c>
      <c r="F129" s="10">
        <f>AVERAGE($E$2:E129)</f>
        <v>99.146874999999966</v>
      </c>
    </row>
    <row r="130" spans="1:6">
      <c r="A130" s="7">
        <v>43959</v>
      </c>
      <c r="B130" s="8">
        <v>97.502150537634733</v>
      </c>
      <c r="E130" s="8">
        <v>98.2</v>
      </c>
      <c r="F130" s="10">
        <f>AVERAGE($E$2:E130)</f>
        <v>99.139534883720899</v>
      </c>
    </row>
    <row r="131" spans="1:6">
      <c r="A131" s="7">
        <v>43960</v>
      </c>
      <c r="B131" s="8">
        <v>97.435483870968071</v>
      </c>
      <c r="E131" s="8">
        <v>98.5</v>
      </c>
      <c r="F131" s="10">
        <f>AVERAGE($E$2:E131)</f>
        <v>99.134615384615358</v>
      </c>
    </row>
    <row r="132" spans="1:6">
      <c r="A132" s="7">
        <v>43961</v>
      </c>
      <c r="B132" s="8">
        <v>97.368817204301408</v>
      </c>
      <c r="E132" s="8">
        <v>99.5</v>
      </c>
      <c r="F132" s="10">
        <f>AVERAGE($E$2:E132)</f>
        <v>99.137404580152648</v>
      </c>
    </row>
    <row r="133" spans="1:6">
      <c r="A133" s="7">
        <v>43962</v>
      </c>
      <c r="B133" s="8">
        <v>97.302150537634745</v>
      </c>
      <c r="E133" s="8">
        <v>100.2</v>
      </c>
      <c r="F133" s="10">
        <f>AVERAGE($E$2:E133)</f>
        <v>99.145454545454527</v>
      </c>
    </row>
    <row r="134" spans="1:6">
      <c r="A134" s="7">
        <v>43963</v>
      </c>
      <c r="B134" s="8">
        <v>97.235483870968082</v>
      </c>
      <c r="E134" s="8">
        <v>99.2</v>
      </c>
      <c r="F134" s="10">
        <f>AVERAGE($E$2:E134)</f>
        <v>99.145864661654116</v>
      </c>
    </row>
    <row r="135" spans="1:6">
      <c r="A135" s="7">
        <v>43964</v>
      </c>
      <c r="B135" s="8">
        <v>97.168817204301419</v>
      </c>
      <c r="E135" s="8">
        <v>99.2</v>
      </c>
      <c r="F135" s="10">
        <f>AVERAGE($E$2:E135)</f>
        <v>99.146268656716401</v>
      </c>
    </row>
    <row r="136" spans="1:6">
      <c r="A136" s="7">
        <v>43965</v>
      </c>
      <c r="B136" s="8">
        <v>97.102150537634756</v>
      </c>
      <c r="E136" s="8">
        <v>99.4</v>
      </c>
      <c r="F136" s="10">
        <f>AVERAGE($E$2:E136)</f>
        <v>99.148148148148138</v>
      </c>
    </row>
    <row r="137" spans="1:6">
      <c r="A137" s="7">
        <v>43966</v>
      </c>
      <c r="B137" s="8">
        <v>97.035483870968093</v>
      </c>
      <c r="E137" s="8">
        <v>99</v>
      </c>
      <c r="F137" s="10">
        <f>AVERAGE($E$2:E137)</f>
        <v>99.147058823529392</v>
      </c>
    </row>
    <row r="138" spans="1:6">
      <c r="A138" s="7">
        <v>43967</v>
      </c>
      <c r="B138" s="8">
        <v>96.96881720430143</v>
      </c>
      <c r="E138" s="8">
        <v>98.9</v>
      </c>
      <c r="F138" s="10">
        <f>AVERAGE($E$2:E138)</f>
        <v>99.14525547445254</v>
      </c>
    </row>
    <row r="139" spans="1:6">
      <c r="A139" s="7">
        <v>43968</v>
      </c>
      <c r="B139" s="8">
        <v>96.902150537634768</v>
      </c>
      <c r="E139" s="8">
        <v>100.2</v>
      </c>
      <c r="F139" s="10">
        <f>AVERAGE($E$2:E139)</f>
        <v>99.152898550724629</v>
      </c>
    </row>
    <row r="140" spans="1:6">
      <c r="A140" s="7">
        <v>43969</v>
      </c>
      <c r="B140" s="8">
        <v>96.835483870968105</v>
      </c>
      <c r="E140" s="8">
        <v>100.2</v>
      </c>
      <c r="F140" s="10">
        <f>AVERAGE($E$2:E140)</f>
        <v>99.160431654676259</v>
      </c>
    </row>
    <row r="141" spans="1:6">
      <c r="A141" s="7">
        <v>43970</v>
      </c>
      <c r="B141" s="8">
        <v>96.768817204301442</v>
      </c>
      <c r="E141" s="8">
        <v>99</v>
      </c>
      <c r="F141" s="10">
        <f>AVERAGE($E$2:E141)</f>
        <v>99.159285714285716</v>
      </c>
    </row>
    <row r="142" spans="1:6">
      <c r="A142" s="7">
        <v>43971</v>
      </c>
      <c r="B142" s="8">
        <v>96.702150537634779</v>
      </c>
      <c r="E142" s="8">
        <v>98.4</v>
      </c>
      <c r="F142" s="10">
        <f>AVERAGE($E$2:E142)</f>
        <v>99.153900709219855</v>
      </c>
    </row>
    <row r="143" spans="1:6">
      <c r="A143" s="7">
        <v>43972</v>
      </c>
      <c r="B143" s="8">
        <v>96.635483870968116</v>
      </c>
      <c r="E143" s="8">
        <v>98.1</v>
      </c>
      <c r="F143" s="10">
        <f>AVERAGE($E$2:E143)</f>
        <v>99.146478873239431</v>
      </c>
    </row>
    <row r="144" spans="1:6">
      <c r="A144" s="7">
        <v>43973</v>
      </c>
      <c r="B144" s="8">
        <v>96.568817204301453</v>
      </c>
      <c r="E144" s="8">
        <v>98.5</v>
      </c>
      <c r="F144" s="10">
        <f>AVERAGE($E$2:E144)</f>
        <v>99.141958041958034</v>
      </c>
    </row>
    <row r="145" spans="1:6">
      <c r="A145" s="7">
        <v>43974</v>
      </c>
      <c r="B145" s="8">
        <v>96.50215053763479</v>
      </c>
      <c r="E145" s="8">
        <v>98.5</v>
      </c>
      <c r="F145" s="10">
        <f>AVERAGE($E$2:E145)</f>
        <v>99.137499999999989</v>
      </c>
    </row>
    <row r="146" spans="1:6">
      <c r="A146" s="7">
        <v>43975</v>
      </c>
      <c r="B146" s="8">
        <v>96.435483870968127</v>
      </c>
      <c r="E146" s="8">
        <v>99.5</v>
      </c>
      <c r="F146" s="10">
        <f>AVERAGE($E$2:E146)</f>
        <v>99.14</v>
      </c>
    </row>
    <row r="147" spans="1:6">
      <c r="A147" s="7">
        <v>43976</v>
      </c>
      <c r="B147" s="8">
        <v>96.368817204301465</v>
      </c>
      <c r="E147" s="8">
        <v>99.3</v>
      </c>
      <c r="F147" s="10">
        <f>AVERAGE($E$2:E147)</f>
        <v>99.141095890410952</v>
      </c>
    </row>
    <row r="148" spans="1:6">
      <c r="A148" s="7">
        <v>43977</v>
      </c>
      <c r="B148" s="8">
        <v>96.302150537634802</v>
      </c>
      <c r="E148" s="8">
        <v>98.3</v>
      </c>
      <c r="F148" s="10">
        <f>AVERAGE($E$2:E148)</f>
        <v>99.135374149659853</v>
      </c>
    </row>
    <row r="149" spans="1:6">
      <c r="A149" s="7">
        <v>43978</v>
      </c>
      <c r="B149" s="8">
        <v>96.235483870968139</v>
      </c>
      <c r="E149" s="8">
        <v>98.2</v>
      </c>
      <c r="F149" s="10">
        <f>AVERAGE($E$2:E149)</f>
        <v>99.129054054054038</v>
      </c>
    </row>
    <row r="150" spans="1:6">
      <c r="A150" s="7">
        <v>43979</v>
      </c>
      <c r="B150" s="8">
        <v>96.168817204301476</v>
      </c>
      <c r="E150" s="8">
        <v>97.9</v>
      </c>
      <c r="F150" s="10">
        <f>AVERAGE($E$2:E150)</f>
        <v>99.12080536912751</v>
      </c>
    </row>
    <row r="151" spans="1:6">
      <c r="A151" s="7">
        <v>43980</v>
      </c>
      <c r="B151" s="8">
        <v>96.102150537634813</v>
      </c>
      <c r="E151" s="8">
        <v>99.5</v>
      </c>
      <c r="F151" s="10">
        <f>AVERAGE($E$2:E151)</f>
        <v>99.123333333333321</v>
      </c>
    </row>
    <row r="152" spans="1:6">
      <c r="A152" s="7">
        <v>43981</v>
      </c>
      <c r="B152" s="8">
        <v>96.03548387096815</v>
      </c>
      <c r="E152" s="8">
        <v>99.7</v>
      </c>
      <c r="F152" s="10">
        <f>AVERAGE($E$2:E152)</f>
        <v>99.127152317880785</v>
      </c>
    </row>
    <row r="153" spans="1:6">
      <c r="A153" s="7">
        <v>43982</v>
      </c>
      <c r="B153" s="8">
        <v>95.968817204301487</v>
      </c>
      <c r="E153" s="8">
        <v>100.5</v>
      </c>
      <c r="F153" s="10">
        <f>AVERAGE($E$2:E153)</f>
        <v>99.136184210526309</v>
      </c>
    </row>
    <row r="154" spans="1:6">
      <c r="A154" s="7">
        <v>43983</v>
      </c>
      <c r="B154" s="8">
        <v>97.902150537634824</v>
      </c>
      <c r="E154" s="8">
        <v>101.5</v>
      </c>
      <c r="F154" s="10">
        <f>AVERAGE($E$2:E154)</f>
        <v>99.151633986928104</v>
      </c>
    </row>
    <row r="155" spans="1:6">
      <c r="A155" s="7">
        <v>43984</v>
      </c>
      <c r="B155" s="8">
        <v>97.835483870968162</v>
      </c>
      <c r="E155" s="8">
        <v>99.3</v>
      </c>
      <c r="F155" s="10">
        <f>AVERAGE($E$2:E155)</f>
        <v>99.152597402597394</v>
      </c>
    </row>
    <row r="156" spans="1:6">
      <c r="A156" s="7">
        <v>43985</v>
      </c>
      <c r="B156" s="8">
        <v>97.768817204301499</v>
      </c>
      <c r="E156" s="8">
        <v>98.8</v>
      </c>
      <c r="F156" s="10">
        <f>AVERAGE($E$2:E156)</f>
        <v>99.150322580645138</v>
      </c>
    </row>
    <row r="157" spans="1:6">
      <c r="A157" s="7">
        <v>43986</v>
      </c>
      <c r="B157" s="8">
        <v>97.702150537634836</v>
      </c>
      <c r="E157" s="8">
        <v>99.7</v>
      </c>
      <c r="F157" s="10">
        <f>AVERAGE($E$2:E157)</f>
        <v>99.153846153846146</v>
      </c>
    </row>
    <row r="158" spans="1:6">
      <c r="A158" s="7">
        <v>43987</v>
      </c>
      <c r="B158" s="8">
        <v>97.635483870968173</v>
      </c>
      <c r="E158" s="8">
        <v>99.1</v>
      </c>
      <c r="F158" s="10">
        <f>AVERAGE($E$2:E158)</f>
        <v>99.153503184713372</v>
      </c>
    </row>
    <row r="159" spans="1:6">
      <c r="A159" s="7">
        <v>43988</v>
      </c>
      <c r="B159" s="8">
        <v>97.56881720430151</v>
      </c>
      <c r="E159" s="8">
        <v>99.6</v>
      </c>
      <c r="F159" s="10">
        <f>AVERAGE($E$2:E159)</f>
        <v>99.156329113924045</v>
      </c>
    </row>
    <row r="160" spans="1:6">
      <c r="A160" s="7">
        <v>43989</v>
      </c>
      <c r="B160" s="8">
        <v>97.502150537634847</v>
      </c>
      <c r="E160" s="8">
        <v>100.1</v>
      </c>
      <c r="F160" s="10">
        <f>AVERAGE($E$2:E160)</f>
        <v>99.162264150943386</v>
      </c>
    </row>
    <row r="161" spans="1:6">
      <c r="A161" s="7">
        <v>43990</v>
      </c>
      <c r="B161" s="8">
        <v>97.435483870968184</v>
      </c>
      <c r="E161" s="8">
        <v>100.8</v>
      </c>
      <c r="F161" s="10">
        <f>AVERAGE($E$2:E161)</f>
        <v>99.172499999999985</v>
      </c>
    </row>
    <row r="162" spans="1:6">
      <c r="A162" s="7">
        <v>43991</v>
      </c>
      <c r="B162" s="8">
        <v>97.368817204301521</v>
      </c>
      <c r="E162" s="8">
        <v>100.1</v>
      </c>
      <c r="F162" s="10">
        <f>AVERAGE($E$2:E162)</f>
        <v>99.178260869565207</v>
      </c>
    </row>
    <row r="163" spans="1:6">
      <c r="A163" s="7">
        <v>43992</v>
      </c>
      <c r="B163" s="8">
        <v>97.302150537634859</v>
      </c>
      <c r="E163" s="8">
        <v>99.1</v>
      </c>
      <c r="F163" s="10">
        <f>AVERAGE($E$2:E163)</f>
        <v>99.177777777777777</v>
      </c>
    </row>
    <row r="164" spans="1:6">
      <c r="A164" s="7">
        <v>43993</v>
      </c>
      <c r="B164" s="8">
        <v>97.235483870968196</v>
      </c>
      <c r="E164" s="8">
        <v>98.4</v>
      </c>
      <c r="F164" s="10">
        <f>AVERAGE($E$2:E164)</f>
        <v>99.173006134969313</v>
      </c>
    </row>
    <row r="165" spans="1:6">
      <c r="A165" s="7">
        <v>43994</v>
      </c>
      <c r="B165" s="8">
        <v>97.168817204301533</v>
      </c>
      <c r="E165" s="8">
        <v>99.6</v>
      </c>
      <c r="F165" s="10">
        <f>AVERAGE($E$2:E165)</f>
        <v>99.175609756097558</v>
      </c>
    </row>
    <row r="166" spans="1:6">
      <c r="A166" s="7">
        <v>43995</v>
      </c>
      <c r="B166" s="8">
        <v>97.10215053763487</v>
      </c>
      <c r="E166" s="8">
        <v>99</v>
      </c>
      <c r="F166" s="10">
        <f>AVERAGE($E$2:E166)</f>
        <v>99.174545454545452</v>
      </c>
    </row>
    <row r="167" spans="1:6">
      <c r="A167" s="7">
        <v>43996</v>
      </c>
      <c r="B167" s="8">
        <v>97.035483870968207</v>
      </c>
      <c r="E167" s="8">
        <v>98.7</v>
      </c>
      <c r="F167" s="10">
        <f>AVERAGE($E$2:E167)</f>
        <v>99.171686746987959</v>
      </c>
    </row>
    <row r="168" spans="1:6">
      <c r="A168" s="7">
        <v>43997</v>
      </c>
      <c r="B168" s="8">
        <v>96.968817204301544</v>
      </c>
      <c r="E168" s="8">
        <v>99.4</v>
      </c>
      <c r="F168" s="10">
        <f>AVERAGE($E$2:E168)</f>
        <v>99.173053892215577</v>
      </c>
    </row>
    <row r="169" spans="1:6">
      <c r="A169" s="7">
        <v>43998</v>
      </c>
      <c r="B169" s="8">
        <v>96.902150537634881</v>
      </c>
      <c r="E169" s="8">
        <v>99.2</v>
      </c>
      <c r="F169" s="10">
        <f>AVERAGE($E$2:E169)</f>
        <v>99.173214285714295</v>
      </c>
    </row>
    <row r="170" spans="1:6">
      <c r="A170" s="7">
        <v>43999</v>
      </c>
      <c r="B170" s="8">
        <v>96.835483870968218</v>
      </c>
      <c r="E170" s="8">
        <v>99</v>
      </c>
      <c r="F170" s="10">
        <f>AVERAGE($E$2:E170)</f>
        <v>99.172189349112443</v>
      </c>
    </row>
    <row r="171" spans="1:6">
      <c r="A171" s="7">
        <v>44000</v>
      </c>
      <c r="B171" s="8">
        <v>96.768817204301556</v>
      </c>
      <c r="E171" s="8">
        <v>98.8</v>
      </c>
      <c r="F171" s="10">
        <f>AVERAGE($E$2:E171)</f>
        <v>99.17</v>
      </c>
    </row>
    <row r="172" spans="1:6">
      <c r="A172" s="7">
        <v>44001</v>
      </c>
      <c r="B172" s="8">
        <v>96.702150537634893</v>
      </c>
      <c r="E172" s="8">
        <v>98.6</v>
      </c>
      <c r="F172" s="10">
        <f>AVERAGE($E$2:E172)</f>
        <v>99.166666666666671</v>
      </c>
    </row>
    <row r="173" spans="1:6">
      <c r="A173" s="7">
        <v>44002</v>
      </c>
      <c r="B173" s="8">
        <v>96.63548387096823</v>
      </c>
      <c r="E173" s="8">
        <v>97.6</v>
      </c>
      <c r="F173" s="10">
        <f>AVERAGE($E$2:E173)</f>
        <v>99.157558139534871</v>
      </c>
    </row>
    <row r="174" spans="1:6">
      <c r="A174" s="7">
        <v>44003</v>
      </c>
      <c r="B174" s="8">
        <v>96.568817204301567</v>
      </c>
      <c r="E174" s="8">
        <v>97.5</v>
      </c>
      <c r="F174" s="10">
        <f>AVERAGE($E$2:E174)</f>
        <v>99.14797687861271</v>
      </c>
    </row>
    <row r="175" spans="1:6">
      <c r="A175" s="7">
        <v>44004</v>
      </c>
      <c r="B175" s="8">
        <v>96.502150537634904</v>
      </c>
      <c r="E175" s="8">
        <v>97.9</v>
      </c>
      <c r="F175" s="10">
        <f>AVERAGE($E$2:E175)</f>
        <v>99.140804597701148</v>
      </c>
    </row>
    <row r="176" spans="1:6">
      <c r="A176" s="7">
        <v>44005</v>
      </c>
      <c r="B176" s="8">
        <v>96.435483870968241</v>
      </c>
      <c r="E176" s="8">
        <v>97.9</v>
      </c>
      <c r="F176" s="10">
        <f>AVERAGE($E$2:E176)</f>
        <v>99.133714285714291</v>
      </c>
    </row>
    <row r="177" spans="1:6">
      <c r="A177" s="7">
        <v>44006</v>
      </c>
      <c r="B177" s="8">
        <v>96.368817204301578</v>
      </c>
      <c r="E177" s="8">
        <v>98</v>
      </c>
      <c r="F177" s="10">
        <f>AVERAGE($E$2:E177)</f>
        <v>99.127272727272739</v>
      </c>
    </row>
    <row r="178" spans="1:6">
      <c r="A178" s="7">
        <v>44007</v>
      </c>
      <c r="B178" s="8">
        <v>96.302150537634915</v>
      </c>
      <c r="E178" s="8">
        <v>98.7</v>
      </c>
      <c r="F178" s="10">
        <f>AVERAGE($E$2:E178)</f>
        <v>99.124858757062157</v>
      </c>
    </row>
    <row r="179" spans="1:6">
      <c r="A179" s="7">
        <v>44008</v>
      </c>
      <c r="B179" s="8">
        <v>96.235483870968253</v>
      </c>
      <c r="E179" s="8">
        <v>99.8</v>
      </c>
      <c r="F179" s="10">
        <f>AVERAGE($E$2:E179)</f>
        <v>99.128651685393265</v>
      </c>
    </row>
    <row r="180" spans="1:6">
      <c r="A180" s="7">
        <v>44009</v>
      </c>
      <c r="B180" s="8">
        <v>96.16881720430159</v>
      </c>
      <c r="E180" s="8">
        <v>98.4</v>
      </c>
      <c r="F180" s="10">
        <f>AVERAGE($E$2:E180)</f>
        <v>99.124581005586606</v>
      </c>
    </row>
    <row r="181" spans="1:6">
      <c r="A181" s="7">
        <v>44010</v>
      </c>
      <c r="B181" s="8">
        <v>96.102150537634927</v>
      </c>
      <c r="E181" s="8">
        <v>98.1</v>
      </c>
      <c r="F181" s="10">
        <f>AVERAGE($E$2:E181)</f>
        <v>99.118888888888904</v>
      </c>
    </row>
    <row r="182" spans="1:6">
      <c r="A182" s="7">
        <v>44011</v>
      </c>
      <c r="B182" s="8">
        <v>96.035483870968264</v>
      </c>
      <c r="E182" s="8">
        <v>98.4</v>
      </c>
      <c r="F182" s="10">
        <f>AVERAGE($E$2:E182)</f>
        <v>99.114917127071834</v>
      </c>
    </row>
    <row r="183" spans="1:6">
      <c r="A183" s="7">
        <v>44012</v>
      </c>
      <c r="B183" s="8">
        <v>95.968817204301601</v>
      </c>
      <c r="E183" s="8">
        <v>98.2</v>
      </c>
      <c r="F183" s="10">
        <f>AVERAGE($E$2:E183)</f>
        <v>99.109890109890131</v>
      </c>
    </row>
    <row r="184" spans="1:6">
      <c r="A184" s="7">
        <v>44013</v>
      </c>
      <c r="B184" s="8">
        <v>97.968817204301601</v>
      </c>
      <c r="E184" s="8">
        <v>97.5</v>
      </c>
      <c r="F184" s="10">
        <f>AVERAGE($E$2:E184)</f>
        <v>99.10109289617489</v>
      </c>
    </row>
    <row r="185" spans="1:6">
      <c r="A185" s="7">
        <v>44014</v>
      </c>
      <c r="B185" s="8">
        <v>97.902150537634938</v>
      </c>
      <c r="E185" s="8">
        <v>97.4</v>
      </c>
      <c r="F185" s="10">
        <f>AVERAGE($E$2:E185)</f>
        <v>99.09184782608699</v>
      </c>
    </row>
    <row r="186" spans="1:6">
      <c r="A186" s="7">
        <v>44015</v>
      </c>
      <c r="B186" s="8">
        <v>97.835483870968275</v>
      </c>
      <c r="E186" s="8">
        <v>97.5</v>
      </c>
      <c r="F186" s="10">
        <f>AVERAGE($E$2:E186)</f>
        <v>99.083243243243274</v>
      </c>
    </row>
    <row r="187" spans="1:6">
      <c r="A187" s="7">
        <v>44016</v>
      </c>
      <c r="B187" s="8">
        <v>97.768817204301612</v>
      </c>
      <c r="E187" s="8">
        <v>96.9</v>
      </c>
      <c r="F187" s="10">
        <f>AVERAGE($E$2:E187)</f>
        <v>99.07150537634412</v>
      </c>
    </row>
    <row r="188" spans="1:6">
      <c r="A188" s="7">
        <v>44017</v>
      </c>
      <c r="B188" s="8">
        <v>97.70215053763495</v>
      </c>
      <c r="E188" s="8">
        <v>98.8</v>
      </c>
      <c r="F188" s="10">
        <f>AVERAGE($E$2:E188)</f>
        <v>99.070053475935865</v>
      </c>
    </row>
    <row r="189" spans="1:6">
      <c r="A189" s="7">
        <v>44018</v>
      </c>
      <c r="B189" s="8">
        <v>97.635483870968287</v>
      </c>
      <c r="E189" s="8">
        <v>98.8</v>
      </c>
      <c r="F189" s="10">
        <f>AVERAGE($E$2:E189)</f>
        <v>99.068617021276623</v>
      </c>
    </row>
    <row r="190" spans="1:6">
      <c r="A190" s="7">
        <v>44019</v>
      </c>
      <c r="B190" s="8">
        <v>97.568817204301624</v>
      </c>
      <c r="E190" s="8">
        <v>98.2</v>
      </c>
      <c r="F190" s="10">
        <f>AVERAGE($E$2:E190)</f>
        <v>99.064021164021199</v>
      </c>
    </row>
    <row r="191" spans="1:6">
      <c r="A191" s="7">
        <v>44020</v>
      </c>
      <c r="B191" s="8">
        <v>97.502150537634961</v>
      </c>
      <c r="E191" s="8">
        <v>97.9</v>
      </c>
      <c r="F191" s="10">
        <f>AVERAGE($E$2:E191)</f>
        <v>99.057894736842144</v>
      </c>
    </row>
    <row r="192" spans="1:6">
      <c r="A192" s="7">
        <v>44021</v>
      </c>
      <c r="B192" s="8">
        <v>97.435483870968298</v>
      </c>
      <c r="E192" s="8">
        <v>98.1</v>
      </c>
      <c r="F192" s="10">
        <f>AVERAGE($E$2:E192)</f>
        <v>99.052879581151856</v>
      </c>
    </row>
    <row r="193" spans="1:6">
      <c r="A193" s="7">
        <v>44022</v>
      </c>
      <c r="B193" s="8">
        <v>97.368817204301635</v>
      </c>
      <c r="E193" s="8">
        <v>98.1</v>
      </c>
      <c r="F193" s="10">
        <f>AVERAGE($E$2:E193)</f>
        <v>99.047916666666694</v>
      </c>
    </row>
    <row r="194" spans="1:6">
      <c r="A194" s="7">
        <v>44023</v>
      </c>
      <c r="B194" s="8">
        <v>97.302150537634972</v>
      </c>
      <c r="E194" s="8">
        <v>98.2</v>
      </c>
      <c r="F194" s="10">
        <f>AVERAGE($E$2:E194)</f>
        <v>99.043523316062206</v>
      </c>
    </row>
    <row r="195" spans="1:6">
      <c r="A195" s="7">
        <v>44024</v>
      </c>
      <c r="B195" s="8">
        <v>97.235483870968309</v>
      </c>
      <c r="E195" s="8">
        <v>99.8</v>
      </c>
      <c r="F195" s="10">
        <f>AVERAGE($E$2:E195)</f>
        <v>99.047422680412396</v>
      </c>
    </row>
    <row r="196" spans="1:6">
      <c r="A196" s="7">
        <v>44025</v>
      </c>
      <c r="B196" s="8">
        <v>97.168817204301646</v>
      </c>
      <c r="E196" s="8">
        <v>99.2</v>
      </c>
      <c r="F196" s="10">
        <f>AVERAGE($E$2:E196)</f>
        <v>99.048205128205154</v>
      </c>
    </row>
    <row r="197" spans="1:6">
      <c r="A197" s="7">
        <v>44026</v>
      </c>
      <c r="B197" s="8">
        <v>97.102150537634984</v>
      </c>
      <c r="E197" s="8">
        <v>99.7</v>
      </c>
      <c r="F197" s="10">
        <f>AVERAGE($E$2:E197)</f>
        <v>99.051530612244932</v>
      </c>
    </row>
    <row r="198" spans="1:6">
      <c r="A198" s="7">
        <v>44027</v>
      </c>
      <c r="B198" s="8">
        <v>97.035483870968321</v>
      </c>
      <c r="E198" s="8">
        <v>99.2</v>
      </c>
      <c r="F198" s="10">
        <f>AVERAGE($E$2:E198)</f>
        <v>99.052284263959422</v>
      </c>
    </row>
    <row r="199" spans="1:6">
      <c r="A199" s="7">
        <v>44028</v>
      </c>
      <c r="B199" s="8">
        <v>96.968817204301658</v>
      </c>
      <c r="E199" s="8">
        <v>99.7</v>
      </c>
      <c r="F199" s="10">
        <f>AVERAGE($E$2:E199)</f>
        <v>99.055555555555586</v>
      </c>
    </row>
    <row r="200" spans="1:6">
      <c r="A200" s="7">
        <v>44029</v>
      </c>
      <c r="B200" s="8">
        <v>100.00215053763499</v>
      </c>
      <c r="E200" s="8">
        <v>100.2</v>
      </c>
      <c r="F200" s="10">
        <f>AVERAGE($E$2:E200)</f>
        <v>99.061306532663352</v>
      </c>
    </row>
    <row r="201" spans="1:6">
      <c r="A201" s="7">
        <v>44030</v>
      </c>
      <c r="B201" s="8">
        <v>99.939650537634989</v>
      </c>
      <c r="E201" s="8">
        <v>98.9</v>
      </c>
      <c r="F201" s="10">
        <f>AVERAGE($E$2:E201)</f>
        <v>99.060500000000047</v>
      </c>
    </row>
    <row r="202" spans="1:6">
      <c r="A202" s="7">
        <v>44031</v>
      </c>
      <c r="B202" s="8">
        <v>99.877150537634989</v>
      </c>
      <c r="E202" s="8">
        <v>98.8</v>
      </c>
      <c r="F202" s="10">
        <f>AVERAGE($E$2:E202)</f>
        <v>99.059203980099539</v>
      </c>
    </row>
    <row r="203" spans="1:6">
      <c r="A203" s="7">
        <v>44032</v>
      </c>
      <c r="B203" s="8">
        <v>99.814650537634989</v>
      </c>
      <c r="E203" s="8">
        <v>99</v>
      </c>
      <c r="F203" s="10">
        <f>AVERAGE($E$2:E203)</f>
        <v>99.058910891089155</v>
      </c>
    </row>
    <row r="204" spans="1:6">
      <c r="A204" s="7">
        <v>44033</v>
      </c>
      <c r="B204" s="8">
        <v>99.752150537634989</v>
      </c>
      <c r="E204" s="8">
        <v>98.4</v>
      </c>
      <c r="F204" s="10">
        <f>AVERAGE($E$2:E204)</f>
        <v>99.055665024630585</v>
      </c>
    </row>
    <row r="205" spans="1:6">
      <c r="A205" s="7">
        <v>44034</v>
      </c>
      <c r="B205" s="8">
        <v>99.689650537634989</v>
      </c>
      <c r="E205" s="8">
        <v>98.4</v>
      </c>
      <c r="F205" s="10">
        <f>AVERAGE($E$2:E205)</f>
        <v>99.052450980392209</v>
      </c>
    </row>
    <row r="206" spans="1:6">
      <c r="A206" s="7">
        <v>44035</v>
      </c>
      <c r="B206" s="8">
        <v>99.627150537634989</v>
      </c>
      <c r="E206" s="8">
        <v>98</v>
      </c>
      <c r="F206" s="10">
        <f>AVERAGE($E$2:E206)</f>
        <v>99.047317073170788</v>
      </c>
    </row>
    <row r="207" spans="1:6">
      <c r="A207" s="7">
        <v>44036</v>
      </c>
      <c r="B207" s="8">
        <v>99.564650537634989</v>
      </c>
      <c r="E207" s="8">
        <v>98.4</v>
      </c>
      <c r="F207" s="10">
        <f>AVERAGE($E$2:E207)</f>
        <v>99.044174757281624</v>
      </c>
    </row>
    <row r="208" spans="1:6">
      <c r="A208" s="7">
        <v>44037</v>
      </c>
      <c r="B208" s="8">
        <v>99.502150537634989</v>
      </c>
      <c r="E208" s="8">
        <v>97.7</v>
      </c>
      <c r="F208" s="10">
        <f>AVERAGE($E$2:E208)</f>
        <v>99.037681159420359</v>
      </c>
    </row>
    <row r="209" spans="1:6">
      <c r="A209" s="7">
        <v>44038</v>
      </c>
      <c r="B209" s="8">
        <v>99.439650537634989</v>
      </c>
      <c r="E209" s="8">
        <v>98.2</v>
      </c>
      <c r="F209" s="10">
        <f>AVERAGE($E$2:E209)</f>
        <v>99.033653846153911</v>
      </c>
    </row>
    <row r="210" spans="1:6">
      <c r="A210" s="7">
        <v>44039</v>
      </c>
      <c r="B210" s="8">
        <v>99.377150537634989</v>
      </c>
      <c r="E210" s="8">
        <v>99.2</v>
      </c>
      <c r="F210" s="10">
        <f>AVERAGE($E$2:E210)</f>
        <v>99.034449760765625</v>
      </c>
    </row>
    <row r="211" spans="1:6">
      <c r="A211" s="7">
        <v>44040</v>
      </c>
      <c r="B211" s="8">
        <v>99.314650537634989</v>
      </c>
      <c r="E211" s="8">
        <v>98.6</v>
      </c>
      <c r="F211" s="10">
        <f>AVERAGE($E$2:E211)</f>
        <v>99.032380952381018</v>
      </c>
    </row>
    <row r="212" spans="1:6">
      <c r="A212" s="7">
        <v>44041</v>
      </c>
      <c r="B212" s="8">
        <v>99.252150537634989</v>
      </c>
      <c r="E212" s="8">
        <v>98.1</v>
      </c>
      <c r="F212" s="10">
        <f>AVERAGE($E$2:E212)</f>
        <v>99.027962085308118</v>
      </c>
    </row>
    <row r="213" spans="1:6">
      <c r="A213" s="7">
        <v>44042</v>
      </c>
      <c r="B213" s="8">
        <v>99.189650537634989</v>
      </c>
      <c r="E213" s="8">
        <v>97.7</v>
      </c>
      <c r="F213" s="10">
        <f>AVERAGE($E$2:E213)</f>
        <v>99.021698113207606</v>
      </c>
    </row>
    <row r="214" spans="1:6">
      <c r="A214" s="7">
        <v>44043</v>
      </c>
      <c r="B214" s="8">
        <v>99.127150537634989</v>
      </c>
      <c r="E214" s="8">
        <v>98</v>
      </c>
      <c r="F214" s="10">
        <f>AVERAGE($E$2:E214)</f>
        <v>99.016901408450764</v>
      </c>
    </row>
    <row r="215" spans="1:6">
      <c r="A215" s="7">
        <v>44044</v>
      </c>
      <c r="B215" s="8">
        <v>97.061034835155652</v>
      </c>
      <c r="E215" s="8">
        <v>97.3</v>
      </c>
      <c r="F215" s="10">
        <f>AVERAGE($E$2:E215)</f>
        <v>99.00887850467295</v>
      </c>
    </row>
    <row r="216" spans="1:6">
      <c r="A216" s="7">
        <v>44045</v>
      </c>
      <c r="B216" s="8">
        <v>96.970125744246559</v>
      </c>
      <c r="E216" s="8">
        <v>97</v>
      </c>
      <c r="F216" s="10">
        <f>AVERAGE($E$2:E216)</f>
        <v>98.999534883720983</v>
      </c>
    </row>
    <row r="217" spans="1:6">
      <c r="A217" s="7">
        <v>44046</v>
      </c>
      <c r="B217" s="8">
        <v>96.879216653337465</v>
      </c>
      <c r="E217" s="8">
        <v>97.5</v>
      </c>
      <c r="F217" s="10">
        <f>AVERAGE($E$2:E217)</f>
        <v>98.992592592592644</v>
      </c>
    </row>
    <row r="218" spans="1:6">
      <c r="A218" s="7">
        <v>44047</v>
      </c>
      <c r="B218" s="8">
        <v>96.788307562428372</v>
      </c>
      <c r="E218" s="8">
        <v>97.3</v>
      </c>
      <c r="F218" s="10">
        <f>AVERAGE($E$2:E218)</f>
        <v>98.984792626728165</v>
      </c>
    </row>
    <row r="219" spans="1:6">
      <c r="A219" s="7">
        <v>44048</v>
      </c>
      <c r="B219" s="8">
        <v>96.697398471519278</v>
      </c>
      <c r="E219" s="8">
        <v>96.9</v>
      </c>
      <c r="F219" s="10">
        <f>AVERAGE($E$2:E219)</f>
        <v>98.975229357798227</v>
      </c>
    </row>
    <row r="220" spans="1:6">
      <c r="A220" s="7">
        <v>44049</v>
      </c>
      <c r="B220" s="8">
        <v>96.606489380610185</v>
      </c>
      <c r="E220" s="8">
        <v>96.7</v>
      </c>
      <c r="F220" s="10">
        <f>AVERAGE($E$2:E220)</f>
        <v>98.964840182648459</v>
      </c>
    </row>
    <row r="221" spans="1:6">
      <c r="A221" s="7">
        <v>44050</v>
      </c>
      <c r="B221" s="8">
        <v>96.515580289701091</v>
      </c>
      <c r="E221" s="8">
        <v>97</v>
      </c>
      <c r="F221" s="10">
        <f>AVERAGE($E$2:E221)</f>
        <v>98.955909090909159</v>
      </c>
    </row>
    <row r="222" spans="1:6">
      <c r="A222" s="7">
        <v>44051</v>
      </c>
      <c r="B222" s="8">
        <v>96.424671198791998</v>
      </c>
      <c r="E222" s="8">
        <v>97.6</v>
      </c>
      <c r="F222" s="10">
        <f>AVERAGE($E$2:E222)</f>
        <v>98.949773755656167</v>
      </c>
    </row>
    <row r="223" spans="1:6">
      <c r="A223" s="7">
        <v>44052</v>
      </c>
      <c r="B223" s="8">
        <v>96.333762107882905</v>
      </c>
      <c r="E223" s="8">
        <v>96.9</v>
      </c>
      <c r="F223" s="10">
        <f>AVERAGE($E$2:E223)</f>
        <v>98.940540540540596</v>
      </c>
    </row>
    <row r="224" spans="1:6">
      <c r="A224" s="7">
        <v>44053</v>
      </c>
      <c r="B224" s="8">
        <v>96.242853016973811</v>
      </c>
      <c r="E224" s="8">
        <v>96.4</v>
      </c>
      <c r="F224" s="10">
        <f>AVERAGE($E$2:E224)</f>
        <v>98.929147982062844</v>
      </c>
    </row>
    <row r="225" spans="1:6">
      <c r="A225" s="7">
        <v>44054</v>
      </c>
      <c r="B225" s="8">
        <v>96.151943926064718</v>
      </c>
      <c r="E225" s="8">
        <v>96.1</v>
      </c>
      <c r="F225" s="10">
        <f>AVERAGE($E$2:E225)</f>
        <v>98.916517857142921</v>
      </c>
    </row>
    <row r="226" spans="1:6">
      <c r="A226" s="7">
        <v>44055</v>
      </c>
      <c r="B226" s="8">
        <v>96.061034835155624</v>
      </c>
      <c r="E226" s="8">
        <v>95.5</v>
      </c>
      <c r="F226" s="10">
        <f>AVERAGE($E$2:E226)</f>
        <v>98.901333333333397</v>
      </c>
    </row>
    <row r="227" spans="1:6">
      <c r="A227" s="7">
        <v>44056</v>
      </c>
      <c r="B227" s="8">
        <v>95.970125744246531</v>
      </c>
      <c r="E227" s="8">
        <v>95.9</v>
      </c>
      <c r="F227" s="10">
        <f>AVERAGE($E$2:E227)</f>
        <v>98.888053097345207</v>
      </c>
    </row>
    <row r="228" spans="1:6">
      <c r="A228" s="7">
        <v>44057</v>
      </c>
      <c r="B228" s="8">
        <v>95.879216653337437</v>
      </c>
      <c r="E228" s="8">
        <v>96.3</v>
      </c>
      <c r="F228" s="10">
        <f>AVERAGE($E$2:E228)</f>
        <v>98.876651982378917</v>
      </c>
    </row>
    <row r="229" spans="1:6">
      <c r="A229" s="7">
        <v>44058</v>
      </c>
      <c r="B229" s="8">
        <v>95.788307562428344</v>
      </c>
      <c r="E229" s="8">
        <v>95.8</v>
      </c>
      <c r="F229" s="10">
        <f>AVERAGE($E$2:E229)</f>
        <v>98.863157894736901</v>
      </c>
    </row>
    <row r="230" spans="1:6">
      <c r="A230" s="7">
        <v>44059</v>
      </c>
      <c r="B230" s="8">
        <v>95.69739847151925</v>
      </c>
      <c r="E230" s="8">
        <v>96.1</v>
      </c>
      <c r="F230" s="10">
        <f>AVERAGE($E$2:E230)</f>
        <v>98.851091703056824</v>
      </c>
    </row>
    <row r="231" spans="1:6">
      <c r="A231" s="7">
        <v>44060</v>
      </c>
      <c r="B231" s="8">
        <v>95.606489380610157</v>
      </c>
      <c r="E231" s="8">
        <f>E230+0.3</f>
        <v>96.399999999999991</v>
      </c>
      <c r="F231" s="10">
        <f>AVERAGE($E$2:E231)</f>
        <v>98.840434782608753</v>
      </c>
    </row>
    <row r="232" spans="1:6">
      <c r="A232" s="7">
        <v>44061</v>
      </c>
      <c r="B232" s="8">
        <v>95.515580289701063</v>
      </c>
      <c r="E232" s="8">
        <v>96.7</v>
      </c>
      <c r="F232" s="10">
        <f>AVERAGE($E$2:E232)</f>
        <v>98.831168831168895</v>
      </c>
    </row>
    <row r="233" spans="1:6">
      <c r="A233" s="7">
        <v>44062</v>
      </c>
      <c r="B233" s="8">
        <v>95.42467119879197</v>
      </c>
      <c r="E233" s="8">
        <f>E232+0.3</f>
        <v>97</v>
      </c>
      <c r="F233" s="10">
        <f>AVERAGE($E$2:E233)</f>
        <v>98.823275862069025</v>
      </c>
    </row>
    <row r="234" spans="1:6">
      <c r="A234" s="7">
        <v>44063</v>
      </c>
      <c r="B234" s="8">
        <v>95.333762107882876</v>
      </c>
      <c r="E234" s="8">
        <v>97.3</v>
      </c>
      <c r="F234" s="10">
        <f>AVERAGE($E$2:E234)</f>
        <v>98.816738197424954</v>
      </c>
    </row>
    <row r="235" spans="1:6">
      <c r="A235" s="7">
        <v>44064</v>
      </c>
      <c r="B235" s="8">
        <v>95.242853016973783</v>
      </c>
      <c r="E235" s="8">
        <f>E234+0.45</f>
        <v>97.75</v>
      </c>
      <c r="F235" s="10">
        <f>AVERAGE($E$2:E235)</f>
        <v>98.812179487179549</v>
      </c>
    </row>
    <row r="236" spans="1:6">
      <c r="A236" s="7">
        <v>44065</v>
      </c>
      <c r="B236" s="8">
        <v>95.151943926064689</v>
      </c>
      <c r="E236" s="8">
        <v>98.2</v>
      </c>
      <c r="F236" s="10">
        <f>AVERAGE($E$2:E236)</f>
        <v>98.809574468085174</v>
      </c>
    </row>
    <row r="237" spans="1:6">
      <c r="A237" s="7">
        <v>44066</v>
      </c>
      <c r="B237" s="8">
        <v>95.061034835155596</v>
      </c>
      <c r="E237" s="8">
        <v>99.4</v>
      </c>
      <c r="F237" s="10">
        <f>AVERAGE($E$2:E237)</f>
        <v>98.812076271186513</v>
      </c>
    </row>
    <row r="238" spans="1:6">
      <c r="A238" s="7">
        <v>44067</v>
      </c>
      <c r="B238" s="8">
        <v>94.970125744246502</v>
      </c>
      <c r="E238" s="8">
        <v>98.7</v>
      </c>
      <c r="F238" s="10">
        <f>AVERAGE($E$2:E238)</f>
        <v>98.811603375527497</v>
      </c>
    </row>
    <row r="239" spans="1:6">
      <c r="A239" s="7">
        <v>44068</v>
      </c>
      <c r="B239" s="8">
        <v>94.879216653337409</v>
      </c>
      <c r="E239" s="8">
        <v>96.8</v>
      </c>
      <c r="F239" s="10">
        <f>AVERAGE($E$2:E239)</f>
        <v>98.803151260504265</v>
      </c>
    </row>
    <row r="240" spans="1:6">
      <c r="A240" s="7">
        <v>44069</v>
      </c>
      <c r="B240" s="8">
        <v>94.788307562428315</v>
      </c>
      <c r="E240" s="8">
        <v>96.7</v>
      </c>
      <c r="F240" s="10">
        <f>AVERAGE($E$2:E240)</f>
        <v>98.794351464435223</v>
      </c>
    </row>
    <row r="241" spans="1:6">
      <c r="A241" s="7">
        <v>44070</v>
      </c>
      <c r="B241" s="8">
        <v>94.697398471519222</v>
      </c>
      <c r="E241" s="8">
        <v>96.7</v>
      </c>
      <c r="F241" s="10">
        <f>AVERAGE($E$2:E241)</f>
        <v>98.785625000000067</v>
      </c>
    </row>
    <row r="242" spans="1:6">
      <c r="A242" s="7">
        <v>44071</v>
      </c>
      <c r="B242" s="8">
        <v>94.606489380610128</v>
      </c>
      <c r="E242" s="8">
        <v>96.8</v>
      </c>
      <c r="F242" s="10">
        <f>AVERAGE($E$2:E242)</f>
        <v>98.777385892116257</v>
      </c>
    </row>
    <row r="243" spans="1:6">
      <c r="A243" s="7">
        <v>44072</v>
      </c>
      <c r="B243" s="8">
        <v>94.515580289701035</v>
      </c>
      <c r="E243" s="8">
        <v>95.6</v>
      </c>
      <c r="F243" s="10">
        <f>AVERAGE($E$2:E243)</f>
        <v>98.764256198347169</v>
      </c>
    </row>
    <row r="244" spans="1:6">
      <c r="A244" s="7">
        <v>44073</v>
      </c>
      <c r="B244" s="8">
        <v>94.424671198791941</v>
      </c>
      <c r="E244" s="8">
        <v>96</v>
      </c>
      <c r="F244" s="10">
        <f>AVERAGE($E$2:E244)</f>
        <v>98.752880658436283</v>
      </c>
    </row>
    <row r="245" spans="1:6">
      <c r="A245" s="7">
        <v>44074</v>
      </c>
      <c r="B245" s="8">
        <v>94.333762107882848</v>
      </c>
      <c r="E245" s="8">
        <v>96</v>
      </c>
      <c r="F245" s="10">
        <f>AVERAGE($E$2:E245)</f>
        <v>98.7415983606558</v>
      </c>
    </row>
    <row r="246" spans="1:6">
      <c r="A246" s="7">
        <v>44075</v>
      </c>
      <c r="B246" s="8">
        <v>94.242853016973754</v>
      </c>
      <c r="E246" s="8">
        <v>95.4</v>
      </c>
      <c r="F246" s="10">
        <f>AVERAGE($E$2:E246)</f>
        <v>98.727959183673534</v>
      </c>
    </row>
    <row r="247" spans="1:6">
      <c r="A247" s="7">
        <v>44076</v>
      </c>
      <c r="B247" s="8">
        <v>94.151943926064661</v>
      </c>
      <c r="E247" s="8">
        <v>94.5</v>
      </c>
      <c r="F247" s="10">
        <f>AVERAGE($E$2:E247)</f>
        <v>98.710772357723641</v>
      </c>
    </row>
    <row r="248" spans="1:6">
      <c r="A248" s="7">
        <v>44077</v>
      </c>
      <c r="B248" s="8">
        <v>94.061034835155567</v>
      </c>
      <c r="E248" s="8">
        <v>94.7</v>
      </c>
      <c r="F248" s="10">
        <f>AVERAGE($E$2:E248)</f>
        <v>98.694534412955534</v>
      </c>
    </row>
    <row r="249" spans="1:6">
      <c r="A249" s="7">
        <v>44078</v>
      </c>
      <c r="B249" s="8">
        <v>93.970125744246474</v>
      </c>
      <c r="E249" s="8">
        <v>94.3</v>
      </c>
      <c r="F249" s="10">
        <f>AVERAGE($E$2:E249)</f>
        <v>98.676814516129099</v>
      </c>
    </row>
    <row r="250" spans="1:6">
      <c r="A250" s="7">
        <v>44079</v>
      </c>
      <c r="B250" s="8">
        <v>93.87921665333738</v>
      </c>
      <c r="E250" s="8">
        <v>94</v>
      </c>
      <c r="F250" s="10">
        <f>AVERAGE($E$2:E250)</f>
        <v>98.658032128514122</v>
      </c>
    </row>
    <row r="251" spans="1:6">
      <c r="A251" s="7">
        <v>44080</v>
      </c>
      <c r="B251" s="8">
        <v>93.788307562428287</v>
      </c>
      <c r="E251" s="8">
        <v>94.4</v>
      </c>
      <c r="F251" s="10">
        <f>AVERAGE($E$2:E251)</f>
        <v>98.641000000000076</v>
      </c>
    </row>
    <row r="252" spans="1:6">
      <c r="A252" s="7">
        <v>44081</v>
      </c>
      <c r="B252" s="8">
        <v>93.697398471519193</v>
      </c>
      <c r="E252" s="8">
        <v>95</v>
      </c>
      <c r="F252" s="10">
        <f>AVERAGE($E$2:E252)</f>
        <v>98.626494023904456</v>
      </c>
    </row>
    <row r="253" spans="1:6">
      <c r="A253" s="7">
        <v>44082</v>
      </c>
      <c r="B253" s="8">
        <v>93.6064893806101</v>
      </c>
      <c r="E253" s="8">
        <v>94.5</v>
      </c>
      <c r="F253" s="10">
        <f>AVERAGE($E$2:E253)</f>
        <v>98.610119047619122</v>
      </c>
    </row>
    <row r="254" spans="1:6">
      <c r="A254" s="7">
        <v>44083</v>
      </c>
      <c r="B254" s="8">
        <v>93.515580289701006</v>
      </c>
      <c r="E254" s="8">
        <v>94.4</v>
      </c>
      <c r="F254" s="10">
        <f>AVERAGE($E$2:E254)</f>
        <v>98.593478260869645</v>
      </c>
    </row>
    <row r="255" spans="1:6">
      <c r="A255" s="7">
        <v>44084</v>
      </c>
      <c r="B255" s="8">
        <v>93.424671198791913</v>
      </c>
      <c r="E255" s="8">
        <v>93.9</v>
      </c>
      <c r="F255" s="10">
        <f>AVERAGE($E$2:E255)</f>
        <v>98.575000000000088</v>
      </c>
    </row>
    <row r="256" spans="1:6">
      <c r="A256" s="7">
        <v>44085</v>
      </c>
      <c r="B256" s="8">
        <v>93.333762107882819</v>
      </c>
      <c r="E256" s="8">
        <v>93.9</v>
      </c>
      <c r="F256" s="10">
        <f>AVERAGE($E$2:E256)</f>
        <v>98.556666666666757</v>
      </c>
    </row>
    <row r="257" spans="1:6">
      <c r="A257" s="7">
        <v>44086</v>
      </c>
      <c r="B257" s="8">
        <v>93.242853016973726</v>
      </c>
      <c r="E257" s="8">
        <v>93.3</v>
      </c>
      <c r="F257" s="10">
        <f>AVERAGE($E$2:E257)</f>
        <v>98.536132812500085</v>
      </c>
    </row>
    <row r="258" spans="1:6">
      <c r="A258" s="7">
        <v>44087</v>
      </c>
      <c r="B258" s="8">
        <v>93.151943926064632</v>
      </c>
      <c r="E258" s="8">
        <v>94.4</v>
      </c>
      <c r="F258" s="10">
        <f>AVERAGE($E$2:E258)</f>
        <v>98.520038910505932</v>
      </c>
    </row>
    <row r="259" spans="1:6">
      <c r="A259" s="7">
        <v>44088</v>
      </c>
      <c r="B259" s="8">
        <v>93.061034835155539</v>
      </c>
      <c r="E259" s="8">
        <v>94</v>
      </c>
      <c r="F259" s="10">
        <f>AVERAGE($E$2:E259)</f>
        <v>98.502519379845054</v>
      </c>
    </row>
    <row r="260" spans="1:6">
      <c r="A260" s="7">
        <v>44089</v>
      </c>
      <c r="B260" s="8">
        <v>92.970125744246445</v>
      </c>
      <c r="E260" s="8">
        <v>93</v>
      </c>
      <c r="F260" s="10">
        <f>AVERAGE($E$2:E260)</f>
        <v>98.481274131274219</v>
      </c>
    </row>
    <row r="261" spans="1:6">
      <c r="A261" s="7">
        <v>44090</v>
      </c>
      <c r="B261" s="8">
        <v>92.879216653337352</v>
      </c>
      <c r="E261" s="8">
        <v>92.7</v>
      </c>
      <c r="F261" s="10">
        <f>AVERAGE($E$2:E261)</f>
        <v>98.459038461538555</v>
      </c>
    </row>
    <row r="262" spans="1:6">
      <c r="A262" s="7">
        <v>44091</v>
      </c>
      <c r="B262" s="8">
        <v>92.788307562428258</v>
      </c>
      <c r="E262" s="8">
        <v>92.7</v>
      </c>
      <c r="F262" s="10">
        <f>AVERAGE($E$2:E262)</f>
        <v>98.43697318007672</v>
      </c>
    </row>
    <row r="263" spans="1:6">
      <c r="A263" s="7">
        <v>44092</v>
      </c>
      <c r="B263" s="8">
        <v>92.697398471519165</v>
      </c>
      <c r="E263" s="8">
        <v>92.6</v>
      </c>
      <c r="F263" s="10">
        <f>AVERAGE($E$2:E263)</f>
        <v>98.414694656488635</v>
      </c>
    </row>
    <row r="264" spans="1:6">
      <c r="A264" s="7">
        <v>44093</v>
      </c>
      <c r="B264" s="8">
        <v>92.606489380610071</v>
      </c>
      <c r="E264" s="8">
        <v>92.5</v>
      </c>
      <c r="F264" s="10">
        <f>AVERAGE($E$2:E264)</f>
        <v>98.392205323194005</v>
      </c>
    </row>
    <row r="265" spans="1:6">
      <c r="A265" s="7">
        <v>44094</v>
      </c>
      <c r="B265" s="8">
        <v>92.515580289700978</v>
      </c>
      <c r="E265" s="8">
        <v>93.3</v>
      </c>
      <c r="F265" s="10">
        <f>AVERAGE($E$2:E265)</f>
        <v>98.372916666666754</v>
      </c>
    </row>
    <row r="266" spans="1:6">
      <c r="A266" s="7">
        <v>44095</v>
      </c>
      <c r="B266" s="8">
        <v>92.424671198791884</v>
      </c>
      <c r="E266" s="8">
        <v>92.1</v>
      </c>
      <c r="F266" s="10">
        <f>AVERAGE($E$2:E266)</f>
        <v>98.349245283018945</v>
      </c>
    </row>
    <row r="267" spans="1:6">
      <c r="A267" s="7">
        <v>44096</v>
      </c>
      <c r="B267" s="8">
        <v>92.333762107882791</v>
      </c>
      <c r="E267" s="8">
        <v>92.6</v>
      </c>
      <c r="F267" s="10">
        <f>AVERAGE($E$2:E267)</f>
        <v>98.327631578947447</v>
      </c>
    </row>
    <row r="268" spans="1:6">
      <c r="A268" s="7">
        <v>44097</v>
      </c>
      <c r="B268" s="8">
        <v>92.242853016973697</v>
      </c>
      <c r="E268" s="8">
        <v>91.9</v>
      </c>
      <c r="F268" s="10">
        <f>AVERAGE($E$2:E268)</f>
        <v>98.303558052434539</v>
      </c>
    </row>
    <row r="269" spans="1:6">
      <c r="A269" s="7">
        <v>44098</v>
      </c>
      <c r="B269" s="8">
        <v>92.151943926064604</v>
      </c>
      <c r="E269" s="8">
        <v>91.3</v>
      </c>
      <c r="F269" s="10">
        <f>AVERAGE($E$2:E269)</f>
        <v>98.277425373134406</v>
      </c>
    </row>
    <row r="270" spans="1:6">
      <c r="A270" s="7">
        <v>44099</v>
      </c>
      <c r="B270" s="8">
        <v>92.06103483515551</v>
      </c>
      <c r="E270" s="8">
        <v>90.8</v>
      </c>
      <c r="F270" s="10">
        <f>AVERAGE($E$2:E270)</f>
        <v>98.24962825278817</v>
      </c>
    </row>
    <row r="271" spans="1:6">
      <c r="A271" s="7">
        <v>44100</v>
      </c>
      <c r="B271" s="8">
        <v>91.970125744246417</v>
      </c>
      <c r="E271" s="8">
        <v>91.2</v>
      </c>
      <c r="F271" s="10">
        <f>AVERAGE($E$2:E271)</f>
        <v>98.223518518518588</v>
      </c>
    </row>
    <row r="272" spans="1:6">
      <c r="A272" s="7">
        <v>44101</v>
      </c>
      <c r="B272" s="8">
        <v>91.879216653337323</v>
      </c>
      <c r="E272" s="8">
        <v>91.5</v>
      </c>
      <c r="F272" s="10">
        <f>AVERAGE($E$2:E272)</f>
        <v>98.198708487084943</v>
      </c>
    </row>
    <row r="273" spans="1:6">
      <c r="A273" s="7">
        <v>44102</v>
      </c>
      <c r="B273" s="8">
        <v>91.78830756242823</v>
      </c>
      <c r="E273" s="8">
        <v>91.2</v>
      </c>
      <c r="F273" s="10">
        <f>AVERAGE($E$2:E273)</f>
        <v>98.172977941176555</v>
      </c>
    </row>
    <row r="274" spans="1:6">
      <c r="A274" s="7">
        <v>44103</v>
      </c>
      <c r="B274" s="8">
        <v>91.697398471519136</v>
      </c>
      <c r="E274" s="8">
        <v>90.6</v>
      </c>
      <c r="F274" s="10">
        <f>AVERAGE($E$2:E274)</f>
        <v>98.14523809523817</v>
      </c>
    </row>
    <row r="275" spans="1:6">
      <c r="A275" s="7">
        <v>44104</v>
      </c>
      <c r="B275" s="8">
        <v>91.606489380610043</v>
      </c>
      <c r="E275" s="8">
        <v>90.7</v>
      </c>
      <c r="F275" s="10">
        <f>AVERAGE($E$2:E275)</f>
        <v>98.118065693430736</v>
      </c>
    </row>
    <row r="276" spans="1:6">
      <c r="A276" s="7">
        <v>44105</v>
      </c>
      <c r="B276" s="8">
        <v>90.015580289700949</v>
      </c>
      <c r="E276" s="8">
        <v>90.6</v>
      </c>
      <c r="F276" s="10">
        <f>AVERAGE($E$2:E276)</f>
        <v>98.090727272727335</v>
      </c>
    </row>
    <row r="277" spans="1:6">
      <c r="A277" s="7">
        <v>44106</v>
      </c>
      <c r="B277" s="8">
        <v>89.924671198791856</v>
      </c>
      <c r="E277" s="8">
        <v>89.8</v>
      </c>
      <c r="F277" s="10">
        <f>AVERAGE($E$2:E277)</f>
        <v>98.060688405797166</v>
      </c>
    </row>
    <row r="278" spans="1:6">
      <c r="A278" s="7">
        <v>44107</v>
      </c>
      <c r="B278" s="8">
        <v>89.833762107882762</v>
      </c>
      <c r="E278" s="8">
        <v>89.8</v>
      </c>
      <c r="F278" s="10">
        <f>AVERAGE($E$2:E278)</f>
        <v>98.030866425992841</v>
      </c>
    </row>
    <row r="279" spans="1:6">
      <c r="A279" s="7">
        <v>44108</v>
      </c>
      <c r="B279" s="8">
        <v>89.742853016973669</v>
      </c>
      <c r="E279" s="8">
        <v>90.4</v>
      </c>
      <c r="F279" s="10">
        <f>AVERAGE($E$2:E279)</f>
        <v>98.003417266187114</v>
      </c>
    </row>
    <row r="280" spans="1:6">
      <c r="A280" s="7">
        <v>44109</v>
      </c>
      <c r="B280" s="8">
        <v>89.651943926064575</v>
      </c>
      <c r="E280" s="8">
        <v>90.8</v>
      </c>
      <c r="F280" s="10">
        <f>AVERAGE($E$2:E280)</f>
        <v>97.977598566308302</v>
      </c>
    </row>
    <row r="281" spans="1:6">
      <c r="A281" s="7">
        <v>44110</v>
      </c>
      <c r="B281" s="8">
        <v>89.561034835155482</v>
      </c>
      <c r="E281" s="8">
        <v>91.1</v>
      </c>
      <c r="F281" s="10">
        <f>AVERAGE($E$2:E281)</f>
        <v>97.953035714285775</v>
      </c>
    </row>
    <row r="282" spans="1:6">
      <c r="A282" s="7">
        <v>44111</v>
      </c>
      <c r="B282" s="8">
        <v>89.470125744246388</v>
      </c>
      <c r="E282" s="8">
        <v>89.4</v>
      </c>
      <c r="F282" s="10">
        <f>AVERAGE($E$2:E282)</f>
        <v>97.922597864768747</v>
      </c>
    </row>
    <row r="283" spans="1:6">
      <c r="A283" s="7">
        <v>44112</v>
      </c>
      <c r="B283" s="8">
        <v>89.379216653337295</v>
      </c>
      <c r="E283" s="8">
        <v>89.3</v>
      </c>
      <c r="F283" s="10">
        <f>AVERAGE($E$2:E283)</f>
        <v>97.892021276595813</v>
      </c>
    </row>
    <row r="284" spans="1:6">
      <c r="A284" s="7">
        <v>44113</v>
      </c>
      <c r="B284" s="8">
        <v>89.288307562428201</v>
      </c>
      <c r="E284" s="8">
        <v>89.2</v>
      </c>
      <c r="F284" s="10">
        <f>AVERAGE($E$2:E284)</f>
        <v>97.861307420494768</v>
      </c>
    </row>
    <row r="285" spans="1:6">
      <c r="A285" s="7">
        <v>44114</v>
      </c>
      <c r="B285" s="8">
        <v>89.197398471519108</v>
      </c>
      <c r="E285" s="8">
        <v>89.2</v>
      </c>
      <c r="F285" s="10">
        <f>AVERAGE($E$2:E285)</f>
        <v>97.830809859154996</v>
      </c>
    </row>
    <row r="286" spans="1:6">
      <c r="A286" s="7">
        <v>44115</v>
      </c>
      <c r="B286" s="8">
        <v>89.106489380610014</v>
      </c>
      <c r="E286" s="8">
        <v>90</v>
      </c>
      <c r="F286" s="10">
        <f>AVERAGE($E$2:E286)</f>
        <v>97.803333333333399</v>
      </c>
    </row>
    <row r="287" spans="1:6">
      <c r="A287" s="7">
        <v>44116</v>
      </c>
      <c r="B287" s="8">
        <v>89.015580289700921</v>
      </c>
      <c r="E287" s="8">
        <v>90.6</v>
      </c>
      <c r="F287" s="10">
        <f>AVERAGE($E$2:E287)</f>
        <v>97.778146853146907</v>
      </c>
    </row>
    <row r="288" spans="1:6">
      <c r="A288" s="7">
        <v>44117</v>
      </c>
      <c r="B288" s="8">
        <v>88.924671198791827</v>
      </c>
      <c r="E288" s="8">
        <v>90</v>
      </c>
      <c r="F288" s="10">
        <f>AVERAGE($E$2:E288)</f>
        <v>97.751045296167305</v>
      </c>
    </row>
    <row r="289" spans="1:13">
      <c r="A289" s="7">
        <v>44118</v>
      </c>
      <c r="B289" s="8">
        <v>88.833762107882734</v>
      </c>
      <c r="E289" s="8">
        <v>89.5</v>
      </c>
      <c r="F289" s="10">
        <f>AVERAGE($E$2:E289)</f>
        <v>97.722395833333394</v>
      </c>
      <c r="I289" s="11">
        <v>1602</v>
      </c>
      <c r="J289" s="11">
        <v>-1998</v>
      </c>
      <c r="K289" s="11">
        <v>-648</v>
      </c>
      <c r="L289" s="11">
        <f>SUM(J289:K289)</f>
        <v>-2646</v>
      </c>
      <c r="M289" s="11">
        <f>I289+L289</f>
        <v>-1044</v>
      </c>
    </row>
    <row r="290" spans="1:13">
      <c r="A290" s="7">
        <v>44119</v>
      </c>
      <c r="B290" s="8">
        <v>88.74285301697364</v>
      </c>
      <c r="E290" s="8">
        <v>89.1</v>
      </c>
      <c r="F290" s="10">
        <f>AVERAGE($E$2:E290)</f>
        <v>97.692560553633271</v>
      </c>
      <c r="I290" s="11">
        <v>2103</v>
      </c>
      <c r="J290" s="11">
        <v>-1998</v>
      </c>
      <c r="K290" s="11">
        <v>-1032</v>
      </c>
      <c r="L290" s="11">
        <f t="shared" ref="L290:L314" si="0">SUM(J290:K290)</f>
        <v>-3030</v>
      </c>
      <c r="M290" s="11">
        <f t="shared" ref="M290:M314" si="1">I290+L290</f>
        <v>-927</v>
      </c>
    </row>
    <row r="291" spans="1:13">
      <c r="A291" s="7">
        <v>44120</v>
      </c>
      <c r="B291" s="8">
        <v>88.651943926064547</v>
      </c>
      <c r="E291" s="8">
        <v>89.3</v>
      </c>
      <c r="F291" s="10">
        <f>AVERAGE($E$2:E291)</f>
        <v>97.663620689655218</v>
      </c>
      <c r="I291" s="11">
        <v>1899</v>
      </c>
      <c r="J291" s="11">
        <v>-1998</v>
      </c>
      <c r="K291" s="11">
        <v>-630</v>
      </c>
      <c r="L291" s="11">
        <f t="shared" si="0"/>
        <v>-2628</v>
      </c>
      <c r="M291" s="11">
        <f t="shared" si="1"/>
        <v>-729</v>
      </c>
    </row>
    <row r="292" spans="1:13">
      <c r="A292" s="7">
        <v>44121</v>
      </c>
      <c r="B292" s="8">
        <v>88.561034835155453</v>
      </c>
      <c r="E292" s="8">
        <v>89</v>
      </c>
      <c r="F292" s="10">
        <f>AVERAGE($E$2:E292)</f>
        <v>97.633848797250906</v>
      </c>
      <c r="I292" s="11">
        <v>1629</v>
      </c>
      <c r="J292" s="11">
        <v>-1998</v>
      </c>
      <c r="K292" s="11">
        <v>-1134</v>
      </c>
      <c r="L292" s="11">
        <f t="shared" si="0"/>
        <v>-3132</v>
      </c>
      <c r="M292" s="11">
        <f t="shared" si="1"/>
        <v>-1503</v>
      </c>
    </row>
    <row r="293" spans="1:13">
      <c r="A293" s="7">
        <v>44122</v>
      </c>
      <c r="B293" s="8">
        <v>88.47012574424636</v>
      </c>
      <c r="E293" s="8">
        <v>89.3</v>
      </c>
      <c r="F293" s="10">
        <f>AVERAGE($E$2:E293)</f>
        <v>97.605308219178127</v>
      </c>
      <c r="I293" s="11">
        <v>1986</v>
      </c>
      <c r="J293" s="11">
        <v>-1998</v>
      </c>
      <c r="K293" s="11">
        <v>-980</v>
      </c>
      <c r="L293" s="11">
        <f t="shared" si="0"/>
        <v>-2978</v>
      </c>
      <c r="M293" s="11">
        <f t="shared" si="1"/>
        <v>-992</v>
      </c>
    </row>
    <row r="294" spans="1:13">
      <c r="A294" s="7">
        <v>44123</v>
      </c>
      <c r="B294" s="8">
        <v>88.379216653337267</v>
      </c>
      <c r="E294" s="8">
        <v>89.5</v>
      </c>
      <c r="F294" s="10">
        <f>AVERAGE($E$2:E294)</f>
        <v>97.577645051194594</v>
      </c>
      <c r="I294" s="11">
        <v>1900</v>
      </c>
      <c r="J294" s="11">
        <v>-1998</v>
      </c>
      <c r="K294" s="11">
        <v>-705</v>
      </c>
      <c r="L294" s="11">
        <f t="shared" si="0"/>
        <v>-2703</v>
      </c>
      <c r="M294" s="11">
        <f t="shared" si="1"/>
        <v>-803</v>
      </c>
    </row>
    <row r="295" spans="1:13">
      <c r="A295" s="7">
        <v>44124</v>
      </c>
      <c r="B295" s="8">
        <v>88.288307562428173</v>
      </c>
      <c r="E295" s="8">
        <v>88.9</v>
      </c>
      <c r="F295" s="10">
        <f>AVERAGE($E$2:E295)</f>
        <v>97.548129251700729</v>
      </c>
      <c r="I295" s="11">
        <v>1712</v>
      </c>
      <c r="J295" s="11">
        <v>-1998</v>
      </c>
      <c r="K295" s="11">
        <v>-1067</v>
      </c>
      <c r="L295" s="11">
        <f t="shared" si="0"/>
        <v>-3065</v>
      </c>
      <c r="M295" s="11">
        <f t="shared" si="1"/>
        <v>-1353</v>
      </c>
    </row>
    <row r="296" spans="1:13">
      <c r="A296" s="7">
        <v>44125</v>
      </c>
      <c r="B296" s="8">
        <v>88.19739847151908</v>
      </c>
      <c r="E296" s="8">
        <v>88.4</v>
      </c>
      <c r="F296" s="10">
        <f>AVERAGE($E$2:E296)</f>
        <v>97.51711864406785</v>
      </c>
      <c r="I296" s="11">
        <v>1403</v>
      </c>
      <c r="J296" s="11">
        <v>-1998</v>
      </c>
      <c r="K296" s="11">
        <v>-744</v>
      </c>
      <c r="L296" s="11">
        <f t="shared" si="0"/>
        <v>-2742</v>
      </c>
      <c r="M296" s="11">
        <f t="shared" si="1"/>
        <v>-1339</v>
      </c>
    </row>
    <row r="297" spans="1:13">
      <c r="A297" s="7">
        <v>44126</v>
      </c>
      <c r="B297" s="8">
        <v>88.106489380609986</v>
      </c>
      <c r="E297" s="8">
        <v>87.9</v>
      </c>
      <c r="F297" s="10">
        <f>AVERAGE($E$2:E297)</f>
        <v>97.484628378378446</v>
      </c>
      <c r="I297" s="11">
        <v>1797</v>
      </c>
      <c r="J297" s="11">
        <v>-1998</v>
      </c>
      <c r="K297" s="11">
        <v>-944</v>
      </c>
      <c r="L297" s="11">
        <f t="shared" si="0"/>
        <v>-2942</v>
      </c>
      <c r="M297" s="11">
        <f t="shared" si="1"/>
        <v>-1145</v>
      </c>
    </row>
    <row r="298" spans="1:13">
      <c r="A298" s="7">
        <v>44127</v>
      </c>
      <c r="B298" s="8">
        <v>88.015580289700893</v>
      </c>
      <c r="E298" s="8">
        <v>87.7</v>
      </c>
      <c r="F298" s="10">
        <f>AVERAGE($E$2:E298)</f>
        <v>97.451683501683561</v>
      </c>
      <c r="I298" s="11">
        <v>1864</v>
      </c>
      <c r="J298" s="11">
        <v>-1998</v>
      </c>
      <c r="K298" s="11">
        <v>-733</v>
      </c>
      <c r="L298" s="11">
        <f t="shared" si="0"/>
        <v>-2731</v>
      </c>
      <c r="M298" s="11">
        <f t="shared" si="1"/>
        <v>-867</v>
      </c>
    </row>
    <row r="299" spans="1:13">
      <c r="A299" s="7">
        <v>44128</v>
      </c>
      <c r="B299" s="8">
        <v>87.924671198791799</v>
      </c>
      <c r="E299" s="8">
        <v>87.8</v>
      </c>
      <c r="F299" s="10">
        <f>AVERAGE($E$2:E299)</f>
        <v>97.419295302013481</v>
      </c>
      <c r="I299" s="11">
        <v>2290</v>
      </c>
      <c r="J299" s="11">
        <v>-1998</v>
      </c>
      <c r="K299" s="11">
        <v>-1337</v>
      </c>
      <c r="L299" s="11">
        <f t="shared" si="0"/>
        <v>-3335</v>
      </c>
      <c r="M299" s="11">
        <f t="shared" si="1"/>
        <v>-1045</v>
      </c>
    </row>
    <row r="300" spans="1:13">
      <c r="A300" s="7">
        <v>44129</v>
      </c>
      <c r="B300" s="8">
        <v>87.833762107882706</v>
      </c>
      <c r="E300" s="8">
        <v>87.9</v>
      </c>
      <c r="F300" s="10">
        <f>AVERAGE($E$2:E300)</f>
        <v>97.387458193979995</v>
      </c>
      <c r="I300" s="11">
        <v>1994</v>
      </c>
      <c r="J300" s="11">
        <v>-1998</v>
      </c>
      <c r="K300" s="11">
        <v>-1074</v>
      </c>
      <c r="L300" s="11">
        <f t="shared" si="0"/>
        <v>-3072</v>
      </c>
      <c r="M300" s="11">
        <f t="shared" si="1"/>
        <v>-1078</v>
      </c>
    </row>
    <row r="301" spans="1:13">
      <c r="A301" s="7">
        <v>44130</v>
      </c>
      <c r="B301" s="8">
        <v>87.742853016973612</v>
      </c>
      <c r="E301" s="8">
        <v>88.6</v>
      </c>
      <c r="F301" s="10">
        <f>AVERAGE($E$2:E301)</f>
        <v>97.358166666666733</v>
      </c>
      <c r="I301" s="11">
        <v>1644</v>
      </c>
      <c r="J301" s="11">
        <v>-1998</v>
      </c>
      <c r="K301" s="11">
        <v>-774</v>
      </c>
      <c r="L301" s="11">
        <f t="shared" si="0"/>
        <v>-2772</v>
      </c>
      <c r="M301" s="11">
        <f t="shared" si="1"/>
        <v>-1128</v>
      </c>
    </row>
    <row r="302" spans="1:13">
      <c r="A302" s="7">
        <v>44131</v>
      </c>
      <c r="B302" s="8">
        <v>87.651943926064519</v>
      </c>
      <c r="E302" s="8">
        <v>87.6</v>
      </c>
      <c r="F302" s="10">
        <f>AVERAGE($E$2:E302)</f>
        <v>97.32574750830571</v>
      </c>
      <c r="I302" s="11">
        <v>1440</v>
      </c>
      <c r="J302" s="11">
        <v>-1998</v>
      </c>
      <c r="K302" s="11">
        <v>-1033</v>
      </c>
      <c r="L302" s="11">
        <f t="shared" si="0"/>
        <v>-3031</v>
      </c>
      <c r="M302" s="11">
        <f t="shared" si="1"/>
        <v>-1591</v>
      </c>
    </row>
    <row r="303" spans="1:13">
      <c r="A303" s="7">
        <v>44132</v>
      </c>
      <c r="B303" s="8">
        <v>87.561034835155425</v>
      </c>
      <c r="E303" s="8">
        <v>87</v>
      </c>
      <c r="F303" s="10">
        <f>AVERAGE($E$2:E303)</f>
        <v>97.291556291390791</v>
      </c>
      <c r="I303" s="11">
        <v>1690</v>
      </c>
      <c r="J303" s="11">
        <v>-1998</v>
      </c>
      <c r="K303" s="11">
        <v>-802</v>
      </c>
      <c r="L303" s="11">
        <f t="shared" si="0"/>
        <v>-2800</v>
      </c>
      <c r="M303" s="11">
        <f t="shared" si="1"/>
        <v>-1110</v>
      </c>
    </row>
    <row r="304" spans="1:13">
      <c r="A304" s="7">
        <v>44133</v>
      </c>
      <c r="B304" s="8">
        <v>87.470125744246332</v>
      </c>
      <c r="E304" s="8">
        <v>87.2</v>
      </c>
      <c r="F304" s="10">
        <f>AVERAGE($E$2:E304)</f>
        <v>97.25825082508257</v>
      </c>
      <c r="I304" s="11">
        <v>1852</v>
      </c>
      <c r="J304" s="11">
        <v>-1998</v>
      </c>
      <c r="K304" s="11">
        <v>-1046</v>
      </c>
      <c r="L304" s="11">
        <f t="shared" si="0"/>
        <v>-3044</v>
      </c>
      <c r="M304" s="11">
        <f t="shared" si="1"/>
        <v>-1192</v>
      </c>
    </row>
    <row r="305" spans="1:13">
      <c r="A305" s="7">
        <v>44134</v>
      </c>
      <c r="B305" s="8">
        <v>87.379216653337238</v>
      </c>
      <c r="E305" s="8">
        <v>87.1</v>
      </c>
      <c r="F305" s="10">
        <f>AVERAGE($E$2:E305)</f>
        <v>97.224835526315843</v>
      </c>
      <c r="I305" s="11">
        <v>1777</v>
      </c>
      <c r="J305" s="11">
        <v>-1998</v>
      </c>
      <c r="K305" s="11">
        <v>-786</v>
      </c>
      <c r="L305" s="11">
        <f t="shared" si="0"/>
        <v>-2784</v>
      </c>
      <c r="M305" s="11">
        <f t="shared" si="1"/>
        <v>-1007</v>
      </c>
    </row>
    <row r="306" spans="1:13">
      <c r="A306" s="7">
        <v>44135</v>
      </c>
      <c r="B306" s="8">
        <v>87.288307562428145</v>
      </c>
      <c r="E306" s="8">
        <v>87</v>
      </c>
      <c r="F306" s="10">
        <f>AVERAGE($E$2:E306)</f>
        <v>97.19131147540989</v>
      </c>
      <c r="I306" s="11">
        <v>2097</v>
      </c>
      <c r="J306" s="11">
        <v>-1998</v>
      </c>
      <c r="K306" s="11">
        <v>-1301</v>
      </c>
      <c r="L306" s="11">
        <f t="shared" si="0"/>
        <v>-3299</v>
      </c>
      <c r="M306" s="11">
        <f t="shared" si="1"/>
        <v>-1202</v>
      </c>
    </row>
    <row r="307" spans="1:13">
      <c r="A307" s="7">
        <v>44136</v>
      </c>
      <c r="B307" s="8">
        <v>87.197398471519051</v>
      </c>
      <c r="E307" s="8">
        <v>87.5</v>
      </c>
      <c r="F307" s="10">
        <f>AVERAGE($E$2:E307)</f>
        <v>97.159640522875875</v>
      </c>
      <c r="I307" s="11">
        <v>1981</v>
      </c>
      <c r="J307" s="11">
        <v>-1998</v>
      </c>
      <c r="K307" s="11">
        <v>-862</v>
      </c>
      <c r="L307" s="11">
        <f t="shared" si="0"/>
        <v>-2860</v>
      </c>
      <c r="M307" s="11">
        <f t="shared" si="1"/>
        <v>-879</v>
      </c>
    </row>
    <row r="308" spans="1:13">
      <c r="A308" s="7">
        <v>44137</v>
      </c>
      <c r="B308" s="8">
        <v>87.106489380609958</v>
      </c>
      <c r="E308" s="8">
        <v>87.7</v>
      </c>
      <c r="F308" s="10">
        <f>AVERAGE($E$2:E308)</f>
        <v>97.12882736156358</v>
      </c>
      <c r="I308" s="11">
        <v>1770</v>
      </c>
      <c r="J308" s="11">
        <v>-1998</v>
      </c>
      <c r="K308" s="11">
        <v>-1160</v>
      </c>
      <c r="L308" s="11">
        <f t="shared" si="0"/>
        <v>-3158</v>
      </c>
      <c r="M308" s="11">
        <f t="shared" si="1"/>
        <v>-1388</v>
      </c>
    </row>
    <row r="309" spans="1:13">
      <c r="A309" s="7">
        <v>44138</v>
      </c>
      <c r="B309" s="8">
        <v>87.015580289700864</v>
      </c>
      <c r="E309" s="8">
        <v>87</v>
      </c>
      <c r="F309" s="10">
        <f>AVERAGE($E$2:E309)</f>
        <v>97.095941558441609</v>
      </c>
      <c r="I309" s="11">
        <v>1767</v>
      </c>
      <c r="J309" s="11">
        <v>-1998</v>
      </c>
      <c r="K309" s="11">
        <v>-1010</v>
      </c>
      <c r="L309" s="11">
        <f t="shared" si="0"/>
        <v>-3008</v>
      </c>
      <c r="M309" s="11">
        <f t="shared" si="1"/>
        <v>-1241</v>
      </c>
    </row>
    <row r="310" spans="1:13">
      <c r="A310" s="7">
        <v>44139</v>
      </c>
      <c r="B310" s="8">
        <v>86.924671198791771</v>
      </c>
      <c r="E310" s="8">
        <v>87.3</v>
      </c>
      <c r="F310" s="10">
        <f>AVERAGE($E$2:E310)</f>
        <v>97.064239482200705</v>
      </c>
      <c r="I310" s="11">
        <v>1956</v>
      </c>
      <c r="J310" s="11">
        <v>-1998</v>
      </c>
      <c r="K310" s="11">
        <v>-778</v>
      </c>
      <c r="L310" s="11">
        <f t="shared" si="0"/>
        <v>-2776</v>
      </c>
      <c r="M310" s="11">
        <f t="shared" si="1"/>
        <v>-820</v>
      </c>
    </row>
    <row r="311" spans="1:13">
      <c r="A311" s="7">
        <v>44140</v>
      </c>
      <c r="B311" s="8">
        <v>86.833762107882677</v>
      </c>
      <c r="E311" s="8">
        <v>87.3</v>
      </c>
      <c r="F311" s="10">
        <f>AVERAGE($E$2:E311)</f>
        <v>97.032741935483926</v>
      </c>
      <c r="I311" s="11">
        <v>1782</v>
      </c>
      <c r="J311" s="11">
        <v>-1998</v>
      </c>
      <c r="K311" s="11">
        <v>-1185</v>
      </c>
      <c r="L311" s="11">
        <f t="shared" si="0"/>
        <v>-3183</v>
      </c>
      <c r="M311" s="11">
        <f t="shared" si="1"/>
        <v>-1401</v>
      </c>
    </row>
    <row r="312" spans="1:13">
      <c r="A312" s="7">
        <v>44141</v>
      </c>
      <c r="B312" s="8">
        <v>86.742853016973584</v>
      </c>
      <c r="E312" s="8">
        <v>86.8</v>
      </c>
      <c r="F312" s="10">
        <f>AVERAGE($E$2:E312)</f>
        <v>96.999839228295869</v>
      </c>
      <c r="I312" s="11">
        <v>1959</v>
      </c>
      <c r="J312" s="11">
        <v>-1998</v>
      </c>
      <c r="K312" s="11">
        <v>-790</v>
      </c>
      <c r="L312" s="11">
        <f t="shared" si="0"/>
        <v>-2788</v>
      </c>
      <c r="M312" s="11">
        <f t="shared" si="1"/>
        <v>-829</v>
      </c>
    </row>
    <row r="313" spans="1:13">
      <c r="A313" s="7">
        <v>44142</v>
      </c>
      <c r="B313" s="8">
        <v>86.65194392606449</v>
      </c>
      <c r="E313" s="8">
        <v>86.2</v>
      </c>
      <c r="F313" s="10">
        <f>AVERAGE($E$2:E313)</f>
        <v>96.96522435897441</v>
      </c>
      <c r="I313" s="11">
        <v>2339</v>
      </c>
      <c r="J313" s="11">
        <v>-1998</v>
      </c>
      <c r="K313" s="11">
        <v>-1473</v>
      </c>
      <c r="L313" s="11">
        <f t="shared" si="0"/>
        <v>-3471</v>
      </c>
      <c r="M313" s="11">
        <f t="shared" si="1"/>
        <v>-1132</v>
      </c>
    </row>
    <row r="314" spans="1:13">
      <c r="A314" s="7">
        <v>44143</v>
      </c>
      <c r="B314" s="8">
        <v>86.561034835155397</v>
      </c>
      <c r="E314" s="8">
        <v>86.1</v>
      </c>
      <c r="F314" s="10">
        <f>AVERAGE($E$2:E314)</f>
        <v>96.930511182108674</v>
      </c>
      <c r="I314" s="11">
        <v>1673</v>
      </c>
      <c r="J314" s="11">
        <v>-1998</v>
      </c>
      <c r="K314" s="11">
        <v>-1024</v>
      </c>
      <c r="L314" s="11">
        <f t="shared" si="0"/>
        <v>-3022</v>
      </c>
      <c r="M314" s="11">
        <f t="shared" si="1"/>
        <v>-1349</v>
      </c>
    </row>
    <row r="315" spans="1:13">
      <c r="A315" s="7">
        <v>44144</v>
      </c>
      <c r="B315" s="8">
        <v>86.470125744246303</v>
      </c>
      <c r="E315" s="13">
        <v>86.3</v>
      </c>
      <c r="F315" s="10">
        <f>AVERAGE($E$2:E315)</f>
        <v>96.896656050955457</v>
      </c>
      <c r="I315" s="11">
        <v>1959</v>
      </c>
      <c r="J315" s="11">
        <v>-1900</v>
      </c>
      <c r="K315" s="11">
        <v>-1032</v>
      </c>
      <c r="L315" s="11">
        <f>SUM(J315:K315)</f>
        <v>-2932</v>
      </c>
      <c r="M315" s="11">
        <f>I315+L315</f>
        <v>-973</v>
      </c>
    </row>
    <row r="316" spans="1:13">
      <c r="A316" s="7">
        <v>44145</v>
      </c>
      <c r="B316" s="8">
        <v>86.37921665333721</v>
      </c>
      <c r="E316" s="13">
        <v>86</v>
      </c>
      <c r="F316" s="10">
        <f>AVERAGE($E$2:E316)</f>
        <v>96.862063492063541</v>
      </c>
      <c r="I316" s="11">
        <v>2216</v>
      </c>
      <c r="J316" s="11">
        <v>-1900</v>
      </c>
      <c r="K316" s="11">
        <v>-839</v>
      </c>
      <c r="L316" s="11">
        <f t="shared" ref="L316:L379" si="2">SUM(J316:K316)</f>
        <v>-2739</v>
      </c>
      <c r="M316" s="11">
        <f t="shared" ref="M316:M379" si="3">I316+L316</f>
        <v>-523</v>
      </c>
    </row>
    <row r="317" spans="1:13">
      <c r="A317" s="7">
        <v>44146</v>
      </c>
      <c r="B317" s="8">
        <v>86.288307562428116</v>
      </c>
      <c r="E317" s="13">
        <v>86.1</v>
      </c>
      <c r="F317" s="10">
        <f>AVERAGE($E$2:E317)</f>
        <v>96.828006329113961</v>
      </c>
      <c r="I317" s="11">
        <v>2036</v>
      </c>
      <c r="J317" s="11">
        <v>-1900</v>
      </c>
      <c r="K317" s="11">
        <v>-906</v>
      </c>
      <c r="L317" s="11">
        <f t="shared" si="2"/>
        <v>-2806</v>
      </c>
      <c r="M317" s="11">
        <f t="shared" si="3"/>
        <v>-770</v>
      </c>
    </row>
    <row r="318" spans="1:13">
      <c r="A318" s="7">
        <v>44147</v>
      </c>
      <c r="B318" s="8">
        <v>86.197398471519023</v>
      </c>
      <c r="E318" s="13">
        <v>86.2</v>
      </c>
      <c r="F318" s="10">
        <f>AVERAGE($E$2:E318)</f>
        <v>96.794479495268178</v>
      </c>
      <c r="I318" s="11">
        <v>1376</v>
      </c>
      <c r="J318" s="11">
        <v>-1979</v>
      </c>
      <c r="K318" s="11">
        <v>-834</v>
      </c>
      <c r="L318" s="11">
        <f t="shared" si="2"/>
        <v>-2813</v>
      </c>
      <c r="M318" s="11">
        <f t="shared" si="3"/>
        <v>-1437</v>
      </c>
    </row>
    <row r="319" spans="1:13">
      <c r="A319" s="7">
        <v>44148</v>
      </c>
      <c r="B319" s="8">
        <v>86.106489380609929</v>
      </c>
      <c r="E319" s="13">
        <v>85.5</v>
      </c>
      <c r="F319" s="10">
        <f>AVERAGE($E$2:E319)</f>
        <v>96.758962264150981</v>
      </c>
      <c r="I319" s="11">
        <v>2425</v>
      </c>
      <c r="J319" s="11">
        <v>-1959</v>
      </c>
      <c r="K319" s="11">
        <v>-1051</v>
      </c>
      <c r="L319" s="11">
        <f t="shared" si="2"/>
        <v>-3010</v>
      </c>
      <c r="M319" s="11">
        <f t="shared" si="3"/>
        <v>-585</v>
      </c>
    </row>
    <row r="320" spans="1:13">
      <c r="A320" s="7">
        <v>44149</v>
      </c>
      <c r="B320" s="8">
        <v>86.015580289700836</v>
      </c>
      <c r="E320" s="13">
        <v>85.5</v>
      </c>
      <c r="F320" s="10">
        <f>AVERAGE($E$2:E320)</f>
        <v>96.723667711598793</v>
      </c>
      <c r="I320" s="11">
        <v>2183</v>
      </c>
      <c r="J320" s="11">
        <f t="shared" ref="J320:J383" si="4">J319</f>
        <v>-1959</v>
      </c>
      <c r="K320" s="11">
        <v>-857</v>
      </c>
      <c r="L320" s="11">
        <f t="shared" si="2"/>
        <v>-2816</v>
      </c>
      <c r="M320" s="11">
        <f t="shared" si="3"/>
        <v>-633</v>
      </c>
    </row>
    <row r="321" spans="1:13">
      <c r="A321" s="7">
        <v>44150</v>
      </c>
      <c r="B321" s="8">
        <v>85.924671198791742</v>
      </c>
      <c r="E321" s="13">
        <v>86.2</v>
      </c>
      <c r="F321" s="10">
        <f>AVERAGE($E$2:E321)</f>
        <v>96.690781250000043</v>
      </c>
      <c r="I321" s="11">
        <v>1995</v>
      </c>
      <c r="J321" s="11">
        <f t="shared" si="4"/>
        <v>-1959</v>
      </c>
      <c r="K321" s="11">
        <v>-1092</v>
      </c>
      <c r="L321" s="11">
        <f t="shared" si="2"/>
        <v>-3051</v>
      </c>
      <c r="M321" s="11">
        <f t="shared" si="3"/>
        <v>-1056</v>
      </c>
    </row>
    <row r="322" spans="1:13">
      <c r="A322" s="7">
        <v>44151</v>
      </c>
      <c r="B322" s="8">
        <v>85.833762107882649</v>
      </c>
      <c r="E322" s="13">
        <v>85.8</v>
      </c>
      <c r="F322" s="10">
        <f>AVERAGE($E$2:E322)</f>
        <v>96.656853582554561</v>
      </c>
      <c r="I322" s="11">
        <v>1863</v>
      </c>
      <c r="J322" s="11">
        <f t="shared" si="4"/>
        <v>-1959</v>
      </c>
      <c r="K322" s="11">
        <v>-1156</v>
      </c>
      <c r="L322" s="11">
        <f t="shared" si="2"/>
        <v>-3115</v>
      </c>
      <c r="M322" s="11">
        <f t="shared" si="3"/>
        <v>-1252</v>
      </c>
    </row>
    <row r="323" spans="1:13">
      <c r="A323" s="7">
        <v>44152</v>
      </c>
      <c r="B323" s="8">
        <v>85.742853016973555</v>
      </c>
      <c r="E323" s="13">
        <v>85.1</v>
      </c>
      <c r="F323" s="10">
        <f>AVERAGE($E$2:E323)</f>
        <v>96.620962732919295</v>
      </c>
      <c r="I323" s="11">
        <v>1910</v>
      </c>
      <c r="J323" s="11">
        <v>-1945</v>
      </c>
      <c r="K323" s="11">
        <v>-906</v>
      </c>
      <c r="L323" s="11">
        <f t="shared" si="2"/>
        <v>-2851</v>
      </c>
      <c r="M323" s="11">
        <f t="shared" si="3"/>
        <v>-941</v>
      </c>
    </row>
    <row r="324" spans="1:13">
      <c r="A324" s="7">
        <v>44153</v>
      </c>
      <c r="B324" s="8">
        <v>85.651943926064462</v>
      </c>
      <c r="E324" s="13">
        <v>85.2</v>
      </c>
      <c r="F324" s="10">
        <f>AVERAGE($E$2:E324)</f>
        <v>96.585603715170322</v>
      </c>
      <c r="I324" s="11">
        <v>1902</v>
      </c>
      <c r="J324" s="11">
        <f t="shared" si="4"/>
        <v>-1945</v>
      </c>
      <c r="K324" s="11">
        <v>-831</v>
      </c>
      <c r="L324" s="11">
        <f t="shared" si="2"/>
        <v>-2776</v>
      </c>
      <c r="M324" s="11">
        <f t="shared" si="3"/>
        <v>-874</v>
      </c>
    </row>
    <row r="325" spans="1:13">
      <c r="A325" s="7">
        <v>44154</v>
      </c>
      <c r="B325" s="8">
        <v>85.561034835155368</v>
      </c>
      <c r="E325" s="13">
        <v>85.1</v>
      </c>
      <c r="F325" s="10">
        <f>AVERAGE($E$2:E325)</f>
        <v>96.550154320987687</v>
      </c>
      <c r="I325" s="11">
        <v>2165</v>
      </c>
      <c r="J325" s="11">
        <f t="shared" si="4"/>
        <v>-1945</v>
      </c>
      <c r="K325" s="11">
        <v>-1049</v>
      </c>
      <c r="L325" s="11">
        <f t="shared" si="2"/>
        <v>-2994</v>
      </c>
      <c r="M325" s="11">
        <f t="shared" si="3"/>
        <v>-829</v>
      </c>
    </row>
    <row r="326" spans="1:13">
      <c r="A326" s="7">
        <v>44155</v>
      </c>
      <c r="B326" s="8">
        <v>84.970125744246275</v>
      </c>
      <c r="E326" s="13">
        <v>84.5</v>
      </c>
      <c r="F326" s="10">
        <f>AVERAGE($E$2:E326)</f>
        <v>96.513076923076952</v>
      </c>
      <c r="I326" s="11">
        <v>2001</v>
      </c>
      <c r="J326" s="11">
        <v>-1947</v>
      </c>
      <c r="K326" s="11">
        <v>-810</v>
      </c>
      <c r="L326" s="11">
        <f t="shared" si="2"/>
        <v>-2757</v>
      </c>
      <c r="M326" s="11">
        <f t="shared" si="3"/>
        <v>-756</v>
      </c>
    </row>
    <row r="327" spans="1:13">
      <c r="A327" s="7">
        <v>44156</v>
      </c>
      <c r="B327" s="8">
        <v>84.837894339287601</v>
      </c>
      <c r="E327" s="13">
        <v>84.6</v>
      </c>
      <c r="F327" s="10">
        <f>AVERAGE($E$2:E327)</f>
        <v>96.476533742331313</v>
      </c>
      <c r="I327" s="11">
        <v>1895</v>
      </c>
      <c r="J327" s="11">
        <f t="shared" si="4"/>
        <v>-1947</v>
      </c>
      <c r="K327" s="11">
        <v>-1001</v>
      </c>
      <c r="L327" s="11">
        <f t="shared" si="2"/>
        <v>-2948</v>
      </c>
      <c r="M327" s="11">
        <f t="shared" si="3"/>
        <v>-1053</v>
      </c>
    </row>
    <row r="328" spans="1:13">
      <c r="A328" s="7">
        <v>44157</v>
      </c>
      <c r="B328" s="8">
        <v>84.705662934328927</v>
      </c>
      <c r="E328" s="13">
        <v>85.4</v>
      </c>
      <c r="F328" s="10">
        <f>AVERAGE($E$2:E328)</f>
        <v>96.442660550458754</v>
      </c>
      <c r="I328" s="11">
        <v>2914</v>
      </c>
      <c r="J328" s="11">
        <f t="shared" si="4"/>
        <v>-1947</v>
      </c>
      <c r="K328" s="11">
        <v>-1521</v>
      </c>
      <c r="L328" s="11">
        <f t="shared" si="2"/>
        <v>-3468</v>
      </c>
      <c r="M328" s="11">
        <f t="shared" si="3"/>
        <v>-554</v>
      </c>
    </row>
    <row r="329" spans="1:13">
      <c r="A329" s="7">
        <v>44158</v>
      </c>
      <c r="B329" s="8">
        <v>84.573431529370254</v>
      </c>
      <c r="E329" s="13">
        <v>86.1</v>
      </c>
      <c r="F329" s="10">
        <f>AVERAGE($E$2:E329)</f>
        <v>96.411128048780512</v>
      </c>
      <c r="I329" s="11">
        <v>1775</v>
      </c>
      <c r="J329" s="11">
        <f t="shared" si="4"/>
        <v>-1947</v>
      </c>
      <c r="K329" s="11">
        <v>-836</v>
      </c>
      <c r="L329" s="11">
        <f t="shared" si="2"/>
        <v>-2783</v>
      </c>
      <c r="M329" s="11">
        <f t="shared" si="3"/>
        <v>-1008</v>
      </c>
    </row>
    <row r="330" spans="1:13">
      <c r="A330" s="7">
        <v>44159</v>
      </c>
      <c r="B330" s="8">
        <v>84.44120012441158</v>
      </c>
      <c r="E330" s="13">
        <v>85.4</v>
      </c>
      <c r="F330" s="10">
        <f>AVERAGE($E$2:E330)</f>
        <v>96.377659574468112</v>
      </c>
      <c r="I330" s="11">
        <v>1885</v>
      </c>
      <c r="J330" s="11">
        <f t="shared" si="4"/>
        <v>-1947</v>
      </c>
      <c r="K330" s="11">
        <v>-980</v>
      </c>
      <c r="L330" s="11">
        <f t="shared" si="2"/>
        <v>-2927</v>
      </c>
      <c r="M330" s="11">
        <f t="shared" si="3"/>
        <v>-1042</v>
      </c>
    </row>
    <row r="331" spans="1:13">
      <c r="A331" s="7">
        <v>44160</v>
      </c>
      <c r="B331" s="8">
        <v>84.308968719452906</v>
      </c>
      <c r="E331" s="13">
        <v>84.9</v>
      </c>
      <c r="F331" s="10">
        <f>AVERAGE($E$2:E331)</f>
        <v>96.342878787878831</v>
      </c>
      <c r="I331" s="11">
        <v>1964</v>
      </c>
      <c r="J331" s="11">
        <f t="shared" si="4"/>
        <v>-1947</v>
      </c>
      <c r="K331" s="11">
        <v>-890</v>
      </c>
      <c r="L331" s="11">
        <f t="shared" si="2"/>
        <v>-2837</v>
      </c>
      <c r="M331" s="11">
        <f t="shared" si="3"/>
        <v>-873</v>
      </c>
    </row>
    <row r="332" spans="1:13">
      <c r="A332" s="7">
        <v>44161</v>
      </c>
      <c r="B332" s="8">
        <v>84.176737314494233</v>
      </c>
      <c r="E332" s="13">
        <v>85</v>
      </c>
      <c r="F332" s="10">
        <f>AVERAGE($E$2:E332)</f>
        <v>96.308610271903362</v>
      </c>
      <c r="I332" s="11">
        <v>1874</v>
      </c>
      <c r="J332" s="11">
        <f t="shared" si="4"/>
        <v>-1947</v>
      </c>
      <c r="K332" s="11">
        <v>-936</v>
      </c>
      <c r="L332" s="11">
        <f t="shared" si="2"/>
        <v>-2883</v>
      </c>
      <c r="M332" s="11">
        <f t="shared" si="3"/>
        <v>-1009</v>
      </c>
    </row>
    <row r="333" spans="1:13">
      <c r="A333" s="7">
        <v>44162</v>
      </c>
      <c r="B333" s="8">
        <v>84.044505909535559</v>
      </c>
      <c r="E333" s="13">
        <v>84.4</v>
      </c>
      <c r="F333" s="10">
        <f>AVERAGE($E$2:E333)</f>
        <v>96.272740963855469</v>
      </c>
      <c r="I333" s="11">
        <v>2205</v>
      </c>
      <c r="J333" s="11">
        <f t="shared" si="4"/>
        <v>-1947</v>
      </c>
      <c r="K333" s="11">
        <v>-913</v>
      </c>
      <c r="L333" s="11">
        <f t="shared" si="2"/>
        <v>-2860</v>
      </c>
      <c r="M333" s="11">
        <f t="shared" si="3"/>
        <v>-655</v>
      </c>
    </row>
    <row r="334" spans="1:13">
      <c r="A334" s="7">
        <v>44163</v>
      </c>
      <c r="B334" s="8">
        <v>83.912274504576885</v>
      </c>
      <c r="E334" s="13">
        <v>84.5</v>
      </c>
      <c r="F334" s="10">
        <f>AVERAGE($E$2:E334)</f>
        <v>96.237387387387429</v>
      </c>
      <c r="I334" s="11">
        <v>2680</v>
      </c>
      <c r="J334" s="11">
        <f t="shared" si="4"/>
        <v>-1947</v>
      </c>
      <c r="K334" s="11">
        <v>-1310</v>
      </c>
      <c r="L334" s="11">
        <f t="shared" si="2"/>
        <v>-3257</v>
      </c>
      <c r="M334" s="11">
        <f t="shared" si="3"/>
        <v>-577</v>
      </c>
    </row>
    <row r="335" spans="1:13">
      <c r="A335" s="7">
        <v>44164</v>
      </c>
      <c r="B335" s="8">
        <v>83.780043099618211</v>
      </c>
      <c r="E335" s="13">
        <v>85</v>
      </c>
      <c r="F335" s="10">
        <f>AVERAGE($E$2:E335)</f>
        <v>96.203742514970102</v>
      </c>
      <c r="I335" s="11">
        <v>1856</v>
      </c>
      <c r="J335" s="11">
        <f t="shared" si="4"/>
        <v>-1947</v>
      </c>
      <c r="K335" s="11">
        <f>-1338</f>
        <v>-1338</v>
      </c>
      <c r="L335" s="11">
        <f t="shared" si="2"/>
        <v>-3285</v>
      </c>
      <c r="M335" s="11">
        <f t="shared" si="3"/>
        <v>-1429</v>
      </c>
    </row>
    <row r="336" spans="1:13">
      <c r="A336" s="7">
        <v>44165</v>
      </c>
      <c r="B336" s="8">
        <v>83.647811694659538</v>
      </c>
      <c r="E336" s="13">
        <v>86</v>
      </c>
      <c r="F336" s="10">
        <f>AVERAGE($E$2:E336)</f>
        <v>96.173283582089596</v>
      </c>
      <c r="I336" s="11">
        <v>2035</v>
      </c>
      <c r="J336" s="11">
        <f t="shared" si="4"/>
        <v>-1947</v>
      </c>
      <c r="K336" s="11">
        <v>-839</v>
      </c>
      <c r="L336" s="11">
        <f t="shared" si="2"/>
        <v>-2786</v>
      </c>
      <c r="M336" s="11">
        <f t="shared" si="3"/>
        <v>-751</v>
      </c>
    </row>
    <row r="337" spans="1:13">
      <c r="A337" s="7">
        <v>44166</v>
      </c>
      <c r="B337" s="8">
        <v>83.981695992180207</v>
      </c>
      <c r="E337" s="13">
        <v>85.1</v>
      </c>
      <c r="F337" s="10">
        <f>AVERAGE($E$2:E337)</f>
        <v>96.140327380952414</v>
      </c>
      <c r="I337" s="11">
        <v>1956</v>
      </c>
      <c r="J337" s="11">
        <f t="shared" si="4"/>
        <v>-1947</v>
      </c>
      <c r="K337" s="11">
        <v>-1347</v>
      </c>
      <c r="L337" s="11">
        <f t="shared" si="2"/>
        <v>-3294</v>
      </c>
      <c r="M337" s="11">
        <f t="shared" si="3"/>
        <v>-1338</v>
      </c>
    </row>
    <row r="338" spans="1:13">
      <c r="A338" s="7">
        <v>44167</v>
      </c>
      <c r="B338" s="8">
        <v>83.91558028970087</v>
      </c>
      <c r="E338" s="13">
        <v>84.6</v>
      </c>
      <c r="F338" s="10">
        <f>AVERAGE($E$2:E338)</f>
        <v>96.106083086053445</v>
      </c>
      <c r="I338" s="11">
        <v>2151</v>
      </c>
      <c r="J338" s="11">
        <f t="shared" si="4"/>
        <v>-1947</v>
      </c>
      <c r="K338" s="11">
        <v>-1108</v>
      </c>
      <c r="L338" s="11">
        <f t="shared" si="2"/>
        <v>-3055</v>
      </c>
      <c r="M338" s="11">
        <f t="shared" si="3"/>
        <v>-904</v>
      </c>
    </row>
    <row r="339" spans="1:13">
      <c r="A339" s="7">
        <v>44168</v>
      </c>
      <c r="B339" s="8">
        <v>83.849464587221533</v>
      </c>
      <c r="E339" s="13">
        <v>84.8</v>
      </c>
      <c r="F339" s="10">
        <f>AVERAGE($E$2:E339)</f>
        <v>96.072633136094709</v>
      </c>
      <c r="I339" s="11">
        <v>2024</v>
      </c>
      <c r="J339" s="11">
        <f t="shared" si="4"/>
        <v>-1947</v>
      </c>
      <c r="K339" s="11">
        <v>-845</v>
      </c>
      <c r="L339" s="11">
        <f t="shared" si="2"/>
        <v>-2792</v>
      </c>
      <c r="M339" s="11">
        <f t="shared" si="3"/>
        <v>-768</v>
      </c>
    </row>
    <row r="340" spans="1:13">
      <c r="A340" s="7">
        <v>44169</v>
      </c>
      <c r="B340" s="8">
        <v>83.783348884742196</v>
      </c>
      <c r="E340" s="13">
        <v>84.1</v>
      </c>
      <c r="F340" s="10">
        <f>AVERAGE($E$2:E340)</f>
        <v>96.037315634218317</v>
      </c>
      <c r="I340" s="11">
        <v>1685</v>
      </c>
      <c r="J340" s="11">
        <f t="shared" si="4"/>
        <v>-1947</v>
      </c>
      <c r="K340" s="11">
        <v>-890</v>
      </c>
      <c r="L340" s="11">
        <f t="shared" si="2"/>
        <v>-2837</v>
      </c>
      <c r="M340" s="11">
        <f t="shared" si="3"/>
        <v>-1152</v>
      </c>
    </row>
    <row r="341" spans="1:13">
      <c r="A341" s="7">
        <v>44170</v>
      </c>
      <c r="B341" s="8">
        <v>83.717233182262859</v>
      </c>
      <c r="E341" s="13">
        <v>84.2</v>
      </c>
      <c r="F341" s="10">
        <f>AVERAGE($E$2:E341)</f>
        <v>96.002500000000026</v>
      </c>
      <c r="I341" s="11">
        <v>2186</v>
      </c>
      <c r="J341" s="11">
        <f t="shared" si="4"/>
        <v>-1947</v>
      </c>
      <c r="K341" s="11">
        <v>-1377</v>
      </c>
      <c r="L341" s="11">
        <f t="shared" si="2"/>
        <v>-3324</v>
      </c>
      <c r="M341" s="11">
        <f t="shared" si="3"/>
        <v>-1138</v>
      </c>
    </row>
    <row r="342" spans="1:13">
      <c r="A342" s="7">
        <v>44171</v>
      </c>
      <c r="B342" s="8">
        <v>83.651117479783522</v>
      </c>
      <c r="E342" s="13">
        <v>84.8</v>
      </c>
      <c r="F342" s="10">
        <f>AVERAGE($E$2:E342)</f>
        <v>95.96964809384167</v>
      </c>
      <c r="I342" s="11">
        <v>2095</v>
      </c>
      <c r="J342" s="11">
        <f t="shared" si="4"/>
        <v>-1947</v>
      </c>
      <c r="K342" s="11">
        <v>-994</v>
      </c>
      <c r="L342" s="11">
        <f t="shared" si="2"/>
        <v>-2941</v>
      </c>
      <c r="M342" s="11">
        <f t="shared" si="3"/>
        <v>-846</v>
      </c>
    </row>
    <row r="343" spans="1:13">
      <c r="A343" s="7">
        <v>44172</v>
      </c>
      <c r="B343" s="8">
        <v>83.585001777304186</v>
      </c>
      <c r="E343" s="13">
        <v>84.5</v>
      </c>
      <c r="F343" s="10">
        <f>AVERAGE($E$2:E343)</f>
        <v>95.936111111111131</v>
      </c>
      <c r="I343" s="11">
        <v>1915</v>
      </c>
      <c r="J343" s="11">
        <f t="shared" si="4"/>
        <v>-1947</v>
      </c>
      <c r="K343" s="11">
        <v>-931</v>
      </c>
      <c r="L343" s="11">
        <f t="shared" si="2"/>
        <v>-2878</v>
      </c>
      <c r="M343" s="11">
        <f t="shared" si="3"/>
        <v>-963</v>
      </c>
    </row>
    <row r="344" spans="1:13">
      <c r="A344" s="7">
        <v>44173</v>
      </c>
      <c r="B344" s="8">
        <v>83.518886074824849</v>
      </c>
      <c r="E344" s="13">
        <v>83.8</v>
      </c>
      <c r="F344" s="10">
        <f>AVERAGE($E$2:E344)</f>
        <v>95.900728862973793</v>
      </c>
      <c r="I344" s="11">
        <v>1749</v>
      </c>
      <c r="J344" s="11">
        <f t="shared" si="4"/>
        <v>-1947</v>
      </c>
      <c r="K344" s="11">
        <v>-1167</v>
      </c>
      <c r="L344" s="11">
        <f t="shared" si="2"/>
        <v>-3114</v>
      </c>
      <c r="M344" s="11">
        <f t="shared" si="3"/>
        <v>-1365</v>
      </c>
    </row>
    <row r="345" spans="1:13">
      <c r="A345" s="7">
        <v>44174</v>
      </c>
      <c r="B345" s="8">
        <v>83.452770372345512</v>
      </c>
      <c r="E345" s="13">
        <v>83</v>
      </c>
      <c r="F345" s="10">
        <f>AVERAGE($E$2:E345)</f>
        <v>95.863226744186079</v>
      </c>
      <c r="I345" s="11">
        <v>1959</v>
      </c>
      <c r="J345" s="11">
        <v>-1935</v>
      </c>
      <c r="K345" s="11">
        <v>-1011</v>
      </c>
      <c r="L345" s="11">
        <f t="shared" si="2"/>
        <v>-2946</v>
      </c>
      <c r="M345" s="11">
        <f t="shared" si="3"/>
        <v>-987</v>
      </c>
    </row>
    <row r="346" spans="1:13">
      <c r="A346" s="7">
        <v>44175</v>
      </c>
      <c r="B346" s="8">
        <v>83.386654669866175</v>
      </c>
      <c r="E346" s="13">
        <v>83.3</v>
      </c>
      <c r="F346" s="10">
        <f>AVERAGE($E$2:E346)</f>
        <v>95.826811594202937</v>
      </c>
      <c r="I346" s="11">
        <v>2337</v>
      </c>
      <c r="J346" s="11">
        <f t="shared" si="4"/>
        <v>-1935</v>
      </c>
      <c r="K346" s="11">
        <v>-843</v>
      </c>
      <c r="L346" s="11">
        <f t="shared" si="2"/>
        <v>-2778</v>
      </c>
      <c r="M346" s="11">
        <f t="shared" si="3"/>
        <v>-441</v>
      </c>
    </row>
    <row r="347" spans="1:13">
      <c r="A347" s="7">
        <v>44176</v>
      </c>
      <c r="B347" s="8">
        <v>83.320538967386838</v>
      </c>
      <c r="E347" s="13">
        <v>83.3</v>
      </c>
      <c r="F347" s="10">
        <f>AVERAGE($E$2:E347)</f>
        <v>95.790606936416239</v>
      </c>
      <c r="I347" s="11">
        <v>2120</v>
      </c>
      <c r="J347" s="11">
        <f t="shared" si="4"/>
        <v>-1935</v>
      </c>
      <c r="K347" s="11">
        <v>-822</v>
      </c>
      <c r="L347" s="11">
        <f t="shared" si="2"/>
        <v>-2757</v>
      </c>
      <c r="M347" s="11">
        <f t="shared" si="3"/>
        <v>-637</v>
      </c>
    </row>
    <row r="348" spans="1:13">
      <c r="A348" s="7">
        <v>44177</v>
      </c>
      <c r="B348" s="8">
        <v>83.254423264907501</v>
      </c>
      <c r="E348" s="13">
        <v>83.2</v>
      </c>
      <c r="F348" s="10">
        <f>AVERAGE($E$2:E348)</f>
        <v>95.754322766570652</v>
      </c>
      <c r="I348" s="11">
        <v>2512</v>
      </c>
      <c r="J348" s="11">
        <f t="shared" si="4"/>
        <v>-1935</v>
      </c>
      <c r="K348" s="11">
        <v>-908</v>
      </c>
      <c r="L348" s="11">
        <f t="shared" si="2"/>
        <v>-2843</v>
      </c>
      <c r="M348" s="11">
        <f t="shared" si="3"/>
        <v>-331</v>
      </c>
    </row>
    <row r="349" spans="1:13">
      <c r="A349" s="7">
        <v>44178</v>
      </c>
      <c r="B349" s="8">
        <v>83.188307562428164</v>
      </c>
      <c r="E349" s="13">
        <v>83.4</v>
      </c>
      <c r="F349" s="10">
        <f>AVERAGE($E$2:E349)</f>
        <v>95.718821839080505</v>
      </c>
      <c r="I349" s="11">
        <v>2012</v>
      </c>
      <c r="J349" s="11">
        <f t="shared" si="4"/>
        <v>-1935</v>
      </c>
      <c r="K349" s="11">
        <v>-1118</v>
      </c>
      <c r="L349" s="11">
        <f t="shared" si="2"/>
        <v>-3053</v>
      </c>
      <c r="M349" s="11">
        <f t="shared" si="3"/>
        <v>-1041</v>
      </c>
    </row>
    <row r="350" spans="1:13">
      <c r="A350" s="7">
        <v>44179</v>
      </c>
      <c r="B350" s="8">
        <v>83.122191859948828</v>
      </c>
      <c r="E350" s="13">
        <v>84.2</v>
      </c>
      <c r="F350" s="10">
        <f>AVERAGE($E$2:E350)</f>
        <v>95.685816618911218</v>
      </c>
      <c r="I350" s="11">
        <v>2023</v>
      </c>
      <c r="J350" s="11">
        <f t="shared" si="4"/>
        <v>-1935</v>
      </c>
      <c r="K350" s="11">
        <v>-849</v>
      </c>
      <c r="L350" s="11">
        <f t="shared" si="2"/>
        <v>-2784</v>
      </c>
      <c r="M350" s="11">
        <f t="shared" si="3"/>
        <v>-761</v>
      </c>
    </row>
    <row r="351" spans="1:13">
      <c r="A351" s="7">
        <v>44180</v>
      </c>
      <c r="B351" s="8">
        <v>83.056076157469491</v>
      </c>
      <c r="E351" s="13">
        <v>83.4</v>
      </c>
      <c r="F351" s="10">
        <f>AVERAGE($E$2:E351)</f>
        <v>95.650714285714329</v>
      </c>
      <c r="I351" s="11">
        <v>1739</v>
      </c>
      <c r="J351" s="11">
        <f t="shared" si="4"/>
        <v>-1935</v>
      </c>
      <c r="K351" s="11">
        <v>-1156</v>
      </c>
      <c r="L351" s="11">
        <f t="shared" si="2"/>
        <v>-3091</v>
      </c>
      <c r="M351" s="11">
        <f t="shared" si="3"/>
        <v>-1352</v>
      </c>
    </row>
    <row r="352" spans="1:13">
      <c r="A352" s="7">
        <v>44181</v>
      </c>
      <c r="B352" s="8">
        <v>82.989960454990154</v>
      </c>
      <c r="E352" s="13">
        <v>83.5</v>
      </c>
      <c r="F352" s="10">
        <f>AVERAGE($E$2:E352)</f>
        <v>95.61609686609691</v>
      </c>
      <c r="I352" s="11">
        <v>1554</v>
      </c>
      <c r="J352" s="11">
        <f t="shared" si="4"/>
        <v>-1935</v>
      </c>
      <c r="K352" s="11">
        <v>-1001</v>
      </c>
      <c r="L352" s="11">
        <f t="shared" si="2"/>
        <v>-2936</v>
      </c>
      <c r="M352" s="11">
        <f t="shared" si="3"/>
        <v>-1382</v>
      </c>
    </row>
    <row r="353" spans="1:17">
      <c r="A353" s="7">
        <v>44182</v>
      </c>
      <c r="B353" s="8">
        <v>82.923844752510817</v>
      </c>
      <c r="E353" s="13">
        <v>83</v>
      </c>
      <c r="F353" s="10">
        <f>AVERAGE($E$2:E353)</f>
        <v>95.58025568181823</v>
      </c>
      <c r="I353" s="11">
        <v>1927</v>
      </c>
      <c r="J353" s="11">
        <f t="shared" si="4"/>
        <v>-1935</v>
      </c>
      <c r="K353" s="11">
        <v>-822</v>
      </c>
      <c r="L353" s="11">
        <f t="shared" si="2"/>
        <v>-2757</v>
      </c>
      <c r="M353" s="11">
        <f t="shared" si="3"/>
        <v>-830</v>
      </c>
    </row>
    <row r="354" spans="1:17">
      <c r="A354" s="7">
        <v>44183</v>
      </c>
      <c r="B354" s="8">
        <v>82.85772905003148</v>
      </c>
      <c r="E354" s="13">
        <v>83.1</v>
      </c>
      <c r="F354" s="10">
        <f>AVERAGE($E$2:E354)</f>
        <v>95.544900849858394</v>
      </c>
      <c r="I354" s="11">
        <v>1832</v>
      </c>
      <c r="J354" s="11">
        <v>-1941</v>
      </c>
      <c r="K354" s="11">
        <v>-1127</v>
      </c>
      <c r="L354" s="11">
        <f t="shared" si="2"/>
        <v>-3068</v>
      </c>
      <c r="M354" s="11">
        <f t="shared" si="3"/>
        <v>-1236</v>
      </c>
    </row>
    <row r="355" spans="1:17">
      <c r="A355" s="7">
        <v>44184</v>
      </c>
      <c r="B355" s="8">
        <v>82.791613347552143</v>
      </c>
      <c r="E355" s="13">
        <v>83.2</v>
      </c>
      <c r="F355" s="10">
        <f>AVERAGE($E$2:E355)</f>
        <v>95.510028248587602</v>
      </c>
      <c r="I355" s="11">
        <v>2518</v>
      </c>
      <c r="J355" s="11">
        <f t="shared" si="4"/>
        <v>-1941</v>
      </c>
      <c r="K355" s="11">
        <v>-929</v>
      </c>
      <c r="L355" s="11">
        <f t="shared" si="2"/>
        <v>-2870</v>
      </c>
      <c r="M355" s="11">
        <f t="shared" si="3"/>
        <v>-352</v>
      </c>
    </row>
    <row r="356" spans="1:17">
      <c r="A356" s="7">
        <v>44185</v>
      </c>
      <c r="B356" s="8">
        <v>82.725497645072807</v>
      </c>
      <c r="E356" s="13">
        <v>82.7</v>
      </c>
      <c r="F356" s="10">
        <f>AVERAGE($E$2:E356)</f>
        <v>95.473943661971845</v>
      </c>
      <c r="I356" s="11">
        <v>2045</v>
      </c>
      <c r="J356" s="11">
        <f t="shared" si="4"/>
        <v>-1941</v>
      </c>
      <c r="K356" s="11">
        <v>-1301</v>
      </c>
      <c r="L356" s="11">
        <f t="shared" si="2"/>
        <v>-3242</v>
      </c>
      <c r="M356" s="11">
        <f t="shared" si="3"/>
        <v>-1197</v>
      </c>
    </row>
    <row r="357" spans="1:17">
      <c r="A357" s="7">
        <v>44186</v>
      </c>
      <c r="B357" s="8">
        <v>82.65938194259347</v>
      </c>
      <c r="E357" s="13">
        <v>83.7</v>
      </c>
      <c r="F357" s="10">
        <f>AVERAGE($E$2:E357)</f>
        <v>95.440870786516868</v>
      </c>
      <c r="I357" s="11">
        <v>1943</v>
      </c>
      <c r="J357" s="11">
        <f t="shared" si="4"/>
        <v>-1941</v>
      </c>
      <c r="K357" s="11">
        <v>-865</v>
      </c>
      <c r="L357" s="11">
        <f t="shared" si="2"/>
        <v>-2806</v>
      </c>
      <c r="M357" s="11">
        <f t="shared" si="3"/>
        <v>-863</v>
      </c>
    </row>
    <row r="358" spans="1:17">
      <c r="A358" s="7">
        <v>44187</v>
      </c>
      <c r="B358" s="8">
        <v>82.593266240114133</v>
      </c>
      <c r="E358" s="13">
        <v>82.4</v>
      </c>
      <c r="F358" s="10">
        <f>AVERAGE($E$2:E358)</f>
        <v>95.40434173669469</v>
      </c>
      <c r="I358" s="11">
        <v>1862</v>
      </c>
      <c r="J358" s="11">
        <v>-1931</v>
      </c>
      <c r="K358" s="11">
        <v>-945</v>
      </c>
      <c r="L358" s="11">
        <f t="shared" si="2"/>
        <v>-2876</v>
      </c>
      <c r="M358" s="11">
        <f t="shared" si="3"/>
        <v>-1014</v>
      </c>
    </row>
    <row r="359" spans="1:17">
      <c r="A359" s="7">
        <v>44188</v>
      </c>
      <c r="B359" s="8">
        <v>82.527150537634796</v>
      </c>
      <c r="E359" s="13">
        <v>82.7</v>
      </c>
      <c r="F359" s="10">
        <f>AVERAGE($E$2:E359)</f>
        <v>95.368854748603354</v>
      </c>
      <c r="I359" s="11">
        <v>2543</v>
      </c>
      <c r="J359" s="11">
        <f t="shared" si="4"/>
        <v>-1931</v>
      </c>
      <c r="K359" s="11">
        <v>-1019</v>
      </c>
      <c r="L359" s="11">
        <f t="shared" si="2"/>
        <v>-2950</v>
      </c>
      <c r="M359" s="11">
        <f t="shared" si="3"/>
        <v>-407</v>
      </c>
    </row>
    <row r="360" spans="1:17">
      <c r="A360" s="7">
        <v>44189</v>
      </c>
      <c r="B360" s="8">
        <v>82.461034835155459</v>
      </c>
      <c r="E360" s="13">
        <v>83.2</v>
      </c>
      <c r="F360" s="10">
        <f>AVERAGE($E$2:E360)</f>
        <v>95.334958217270199</v>
      </c>
      <c r="I360" s="11">
        <v>3676</v>
      </c>
      <c r="J360" s="11">
        <f t="shared" si="4"/>
        <v>-1931</v>
      </c>
      <c r="K360" s="11">
        <v>-923</v>
      </c>
      <c r="L360" s="11">
        <f t="shared" si="2"/>
        <v>-2854</v>
      </c>
      <c r="M360" s="11">
        <f t="shared" si="3"/>
        <v>822</v>
      </c>
    </row>
    <row r="361" spans="1:17">
      <c r="A361" s="7">
        <v>44190</v>
      </c>
      <c r="B361" s="8">
        <v>82.394919132676122</v>
      </c>
      <c r="E361" s="13">
        <v>84.2</v>
      </c>
      <c r="F361" s="10">
        <f>AVERAGE($E$2:E361)</f>
        <v>95.304027777777776</v>
      </c>
      <c r="I361" s="11">
        <v>4086</v>
      </c>
      <c r="J361" s="11">
        <f t="shared" si="4"/>
        <v>-1931</v>
      </c>
      <c r="K361" s="11">
        <v>-940</v>
      </c>
      <c r="L361" s="11">
        <f t="shared" si="2"/>
        <v>-2871</v>
      </c>
      <c r="M361" s="11">
        <f t="shared" si="3"/>
        <v>1215</v>
      </c>
    </row>
    <row r="362" spans="1:17">
      <c r="A362" s="7">
        <v>44191</v>
      </c>
      <c r="B362" s="8">
        <v>82.328803430196785</v>
      </c>
      <c r="E362" s="13">
        <v>85.8</v>
      </c>
      <c r="F362" s="10">
        <f>AVERAGE($E$2:E362)</f>
        <v>95.27770083102493</v>
      </c>
      <c r="I362" s="11">
        <v>2771</v>
      </c>
      <c r="J362" s="11">
        <f t="shared" si="4"/>
        <v>-1931</v>
      </c>
      <c r="K362" s="11">
        <v>-1383</v>
      </c>
      <c r="L362" s="11">
        <f t="shared" si="2"/>
        <v>-3314</v>
      </c>
      <c r="M362" s="11">
        <f t="shared" si="3"/>
        <v>-543</v>
      </c>
    </row>
    <row r="363" spans="1:17">
      <c r="A363" s="7">
        <v>44192</v>
      </c>
      <c r="B363" s="8">
        <v>82.262687727717449</v>
      </c>
      <c r="E363" s="13">
        <v>85.5</v>
      </c>
      <c r="F363" s="10">
        <f>AVERAGE($E$2:E363)</f>
        <v>95.250690607734811</v>
      </c>
      <c r="I363" s="11">
        <v>3179</v>
      </c>
      <c r="J363" s="11">
        <f t="shared" si="4"/>
        <v>-1931</v>
      </c>
      <c r="K363" s="11">
        <v>-1374</v>
      </c>
      <c r="L363" s="11">
        <f t="shared" si="2"/>
        <v>-3305</v>
      </c>
      <c r="M363" s="11">
        <f t="shared" si="3"/>
        <v>-126</v>
      </c>
    </row>
    <row r="364" spans="1:17">
      <c r="A364" s="7">
        <v>44193</v>
      </c>
      <c r="B364" s="8">
        <v>82.196572025238112</v>
      </c>
      <c r="E364" s="13">
        <v>85.9</v>
      </c>
      <c r="F364" s="10">
        <f>AVERAGE($E$2:E364)</f>
        <v>95.224931129476587</v>
      </c>
      <c r="I364" s="11">
        <v>1804</v>
      </c>
      <c r="J364" s="11">
        <v>-1931</v>
      </c>
      <c r="K364" s="11">
        <v>-1349</v>
      </c>
      <c r="L364" s="11">
        <f t="shared" si="2"/>
        <v>-3280</v>
      </c>
      <c r="M364" s="11">
        <f t="shared" si="3"/>
        <v>-1476</v>
      </c>
    </row>
    <row r="365" spans="1:17">
      <c r="A365" s="7">
        <v>44194</v>
      </c>
      <c r="B365" s="8">
        <v>82.130456322758775</v>
      </c>
      <c r="E365" s="13">
        <v>84.9</v>
      </c>
      <c r="F365" s="10">
        <f>AVERAGE($E$2:E365)</f>
        <v>95.196565934065944</v>
      </c>
      <c r="I365" s="11">
        <v>1986</v>
      </c>
      <c r="J365" s="11">
        <v>-1931</v>
      </c>
      <c r="K365" s="11">
        <v>-1247</v>
      </c>
      <c r="L365" s="11">
        <f t="shared" si="2"/>
        <v>-3178</v>
      </c>
      <c r="M365" s="11">
        <f t="shared" si="3"/>
        <v>-1192</v>
      </c>
    </row>
    <row r="366" spans="1:17">
      <c r="A366" s="7">
        <v>44195</v>
      </c>
      <c r="B366" s="8">
        <v>82.064340620279438</v>
      </c>
      <c r="E366" s="13">
        <v>83.8</v>
      </c>
      <c r="F366" s="10">
        <f>AVERAGE($E$2:E366)</f>
        <v>95.16534246575344</v>
      </c>
      <c r="I366" s="11">
        <v>1810</v>
      </c>
      <c r="J366" s="11">
        <v>-1931</v>
      </c>
      <c r="K366" s="11">
        <v>-1413</v>
      </c>
      <c r="L366" s="11">
        <f t="shared" si="2"/>
        <v>-3344</v>
      </c>
      <c r="M366" s="11">
        <f t="shared" si="3"/>
        <v>-1534</v>
      </c>
    </row>
    <row r="367" spans="1:17" ht="15" thickBot="1">
      <c r="A367" s="14">
        <v>44196</v>
      </c>
      <c r="B367" s="8">
        <v>81.998224917800101</v>
      </c>
      <c r="C367" s="15"/>
      <c r="D367" s="16"/>
      <c r="E367" s="17">
        <v>83.8</v>
      </c>
      <c r="F367" s="16">
        <f>AVERAGE($E$2:E367)</f>
        <v>95.13428961748636</v>
      </c>
      <c r="G367" s="15"/>
      <c r="H367" s="16"/>
      <c r="I367" s="18">
        <v>3500</v>
      </c>
      <c r="J367" s="18">
        <v>-1976</v>
      </c>
      <c r="K367" s="18">
        <v>-1057</v>
      </c>
      <c r="L367" s="18">
        <f t="shared" si="2"/>
        <v>-3033</v>
      </c>
      <c r="M367" s="18">
        <f t="shared" si="3"/>
        <v>467</v>
      </c>
      <c r="N367" s="18"/>
      <c r="O367" s="19"/>
      <c r="P367" s="19"/>
      <c r="Q367" s="19"/>
    </row>
    <row r="368" spans="1:17">
      <c r="A368" s="7">
        <v>44197</v>
      </c>
      <c r="B368" s="8">
        <v>81.932109215320764</v>
      </c>
      <c r="E368" s="13">
        <v>85.5</v>
      </c>
      <c r="F368" s="10">
        <f>AVERAGE($E368:E$368)</f>
        <v>85.5</v>
      </c>
      <c r="I368" s="11">
        <v>2492</v>
      </c>
      <c r="J368" s="11">
        <f t="shared" si="4"/>
        <v>-1976</v>
      </c>
      <c r="K368" s="11">
        <v>-926</v>
      </c>
      <c r="L368" s="11">
        <f t="shared" si="2"/>
        <v>-2902</v>
      </c>
      <c r="M368" s="11">
        <f t="shared" si="3"/>
        <v>-410</v>
      </c>
    </row>
    <row r="369" spans="1:13">
      <c r="A369" s="7">
        <v>44198</v>
      </c>
      <c r="B369" s="8">
        <v>81.865993512841428</v>
      </c>
      <c r="E369" s="13">
        <v>85.4</v>
      </c>
      <c r="F369" s="10">
        <f>AVERAGE($E$368:E369)</f>
        <v>85.45</v>
      </c>
      <c r="I369" s="11">
        <v>2453</v>
      </c>
      <c r="J369" s="11">
        <f t="shared" si="4"/>
        <v>-1976</v>
      </c>
      <c r="K369" s="11">
        <v>-1149</v>
      </c>
      <c r="L369" s="11">
        <f t="shared" si="2"/>
        <v>-3125</v>
      </c>
      <c r="M369" s="11">
        <f t="shared" si="3"/>
        <v>-672</v>
      </c>
    </row>
    <row r="370" spans="1:13">
      <c r="A370" s="7">
        <v>44199</v>
      </c>
      <c r="B370" s="8">
        <v>81.799877810362091</v>
      </c>
      <c r="E370" s="13">
        <v>84.4</v>
      </c>
      <c r="F370" s="10">
        <f>AVERAGE($E$368:E370)</f>
        <v>85.100000000000009</v>
      </c>
      <c r="I370" s="11">
        <v>2996</v>
      </c>
      <c r="J370" s="11">
        <f t="shared" si="4"/>
        <v>-1976</v>
      </c>
      <c r="K370" s="11">
        <v>-989</v>
      </c>
      <c r="L370" s="11">
        <f t="shared" si="2"/>
        <v>-2965</v>
      </c>
      <c r="M370" s="11">
        <f t="shared" si="3"/>
        <v>31</v>
      </c>
    </row>
    <row r="371" spans="1:13">
      <c r="A371" s="7">
        <v>44200</v>
      </c>
      <c r="B371" s="8">
        <v>81.733762107882754</v>
      </c>
      <c r="E371" s="13">
        <v>84.5</v>
      </c>
      <c r="F371" s="10">
        <f>AVERAGE($E$368:E371)</f>
        <v>84.95</v>
      </c>
      <c r="I371" s="11">
        <v>2401</v>
      </c>
      <c r="J371" s="11">
        <f t="shared" si="4"/>
        <v>-1976</v>
      </c>
      <c r="K371" s="11">
        <v>-896</v>
      </c>
      <c r="L371" s="11">
        <f t="shared" si="2"/>
        <v>-2872</v>
      </c>
      <c r="M371" s="11">
        <f t="shared" si="3"/>
        <v>-471</v>
      </c>
    </row>
    <row r="372" spans="1:13">
      <c r="A372" s="7">
        <v>44201</v>
      </c>
      <c r="B372" s="8">
        <v>81.667646405403417</v>
      </c>
      <c r="E372" s="13">
        <v>83.4</v>
      </c>
      <c r="F372" s="10">
        <f>AVERAGE($E$368:E372)</f>
        <v>84.640000000000015</v>
      </c>
      <c r="I372" s="11">
        <v>2010</v>
      </c>
      <c r="J372" s="11">
        <f t="shared" si="4"/>
        <v>-1976</v>
      </c>
      <c r="K372" s="11">
        <v>-802</v>
      </c>
      <c r="L372" s="11">
        <f t="shared" si="2"/>
        <v>-2778</v>
      </c>
      <c r="M372" s="11">
        <f t="shared" si="3"/>
        <v>-768</v>
      </c>
    </row>
    <row r="373" spans="1:13">
      <c r="A373" s="7">
        <v>44202</v>
      </c>
      <c r="B373" s="8">
        <v>81.60153070292408</v>
      </c>
      <c r="E373" s="13">
        <v>82.8</v>
      </c>
      <c r="F373" s="10">
        <f>AVERAGE($E$368:E373)</f>
        <v>84.333333333333343</v>
      </c>
      <c r="I373" s="11">
        <v>1837</v>
      </c>
      <c r="J373" s="11">
        <f t="shared" si="4"/>
        <v>-1976</v>
      </c>
      <c r="K373" s="11">
        <v>-965</v>
      </c>
      <c r="L373" s="11">
        <f t="shared" si="2"/>
        <v>-2941</v>
      </c>
      <c r="M373" s="11">
        <f t="shared" si="3"/>
        <v>-1104</v>
      </c>
    </row>
    <row r="374" spans="1:13">
      <c r="A374" s="7">
        <v>44203</v>
      </c>
      <c r="B374" s="8">
        <v>81.535415000444743</v>
      </c>
      <c r="E374" s="13">
        <v>83.5</v>
      </c>
      <c r="F374" s="10">
        <f>AVERAGE($E$368:E374)</f>
        <v>84.214285714285708</v>
      </c>
      <c r="I374" s="11">
        <v>2394</v>
      </c>
      <c r="J374" s="11">
        <f t="shared" si="4"/>
        <v>-1976</v>
      </c>
      <c r="K374" s="11">
        <v>-841</v>
      </c>
      <c r="L374" s="11">
        <f t="shared" si="2"/>
        <v>-2817</v>
      </c>
      <c r="M374" s="11">
        <f t="shared" si="3"/>
        <v>-423</v>
      </c>
    </row>
    <row r="375" spans="1:13">
      <c r="A375" s="7">
        <v>44204</v>
      </c>
      <c r="B375" s="8">
        <v>83.7</v>
      </c>
      <c r="E375" s="13">
        <v>83.7</v>
      </c>
      <c r="F375" s="10">
        <f>AVERAGE($E$368:E375)</f>
        <v>84.15</v>
      </c>
      <c r="I375" s="11">
        <v>2278</v>
      </c>
      <c r="J375" s="11">
        <f t="shared" si="4"/>
        <v>-1976</v>
      </c>
      <c r="K375" s="11">
        <v>-818</v>
      </c>
      <c r="L375" s="11">
        <f t="shared" si="2"/>
        <v>-2794</v>
      </c>
      <c r="M375" s="11">
        <f t="shared" si="3"/>
        <v>-516</v>
      </c>
    </row>
    <row r="376" spans="1:13">
      <c r="A376" s="7">
        <v>44205</v>
      </c>
      <c r="B376" s="8">
        <v>83.557142857142864</v>
      </c>
      <c r="E376" s="13">
        <v>83.3</v>
      </c>
      <c r="F376" s="10">
        <f>AVERAGE($E$368:E376)</f>
        <v>84.055555555555557</v>
      </c>
      <c r="I376" s="11">
        <v>2086</v>
      </c>
      <c r="J376" s="11">
        <f t="shared" si="4"/>
        <v>-1976</v>
      </c>
      <c r="K376" s="11">
        <v>-824</v>
      </c>
      <c r="L376" s="11">
        <f t="shared" si="2"/>
        <v>-2800</v>
      </c>
      <c r="M376" s="11">
        <f t="shared" si="3"/>
        <v>-714</v>
      </c>
    </row>
    <row r="377" spans="1:13">
      <c r="A377" s="7">
        <v>44206</v>
      </c>
      <c r="B377" s="8">
        <v>83.414285714285725</v>
      </c>
      <c r="E377" s="13">
        <v>83.4</v>
      </c>
      <c r="F377" s="10">
        <f>AVERAGE($E$368:E377)</f>
        <v>83.99</v>
      </c>
      <c r="I377" s="11">
        <v>1472</v>
      </c>
      <c r="J377" s="11">
        <f t="shared" si="4"/>
        <v>-1976</v>
      </c>
      <c r="K377" s="11">
        <v>-801</v>
      </c>
      <c r="L377" s="11">
        <f t="shared" si="2"/>
        <v>-2777</v>
      </c>
      <c r="M377" s="11">
        <f t="shared" si="3"/>
        <v>-1305</v>
      </c>
    </row>
    <row r="378" spans="1:13">
      <c r="A378" s="7">
        <v>44207</v>
      </c>
      <c r="B378" s="8">
        <v>83.271428571428586</v>
      </c>
      <c r="E378" s="13">
        <v>84.5</v>
      </c>
      <c r="F378" s="10">
        <f>AVERAGE($E$368:E378)</f>
        <v>84.036363636363632</v>
      </c>
      <c r="I378" s="11">
        <v>1808</v>
      </c>
      <c r="J378" s="11">
        <f t="shared" si="4"/>
        <v>-1976</v>
      </c>
      <c r="K378" s="11">
        <v>-1201</v>
      </c>
      <c r="L378" s="11">
        <f t="shared" si="2"/>
        <v>-3177</v>
      </c>
      <c r="M378" s="11">
        <f t="shared" si="3"/>
        <v>-1369</v>
      </c>
    </row>
    <row r="379" spans="1:13">
      <c r="A379" s="7">
        <v>44208</v>
      </c>
      <c r="B379" s="8">
        <v>83.128571428571448</v>
      </c>
      <c r="E379" s="13">
        <v>83.4</v>
      </c>
      <c r="F379" s="10">
        <f>AVERAGE($E$368:E379)</f>
        <v>83.983333333333334</v>
      </c>
      <c r="I379" s="11">
        <v>1436</v>
      </c>
      <c r="J379" s="11">
        <f t="shared" si="4"/>
        <v>-1976</v>
      </c>
      <c r="K379" s="11">
        <v>-810</v>
      </c>
      <c r="L379" s="11">
        <f t="shared" si="2"/>
        <v>-2786</v>
      </c>
      <c r="M379" s="11">
        <f t="shared" si="3"/>
        <v>-1350</v>
      </c>
    </row>
    <row r="380" spans="1:13">
      <c r="A380" s="7">
        <v>44209</v>
      </c>
      <c r="B380" s="8">
        <v>82.985714285714309</v>
      </c>
      <c r="E380" s="13">
        <v>83</v>
      </c>
      <c r="F380" s="10">
        <f>AVERAGE($E$368:E380)</f>
        <v>83.907692307692301</v>
      </c>
      <c r="I380" s="11">
        <v>1668</v>
      </c>
      <c r="J380" s="11">
        <f t="shared" si="4"/>
        <v>-1976</v>
      </c>
      <c r="K380" s="11">
        <v>-800</v>
      </c>
      <c r="L380" s="11">
        <f t="shared" ref="L380:L443" si="5">SUM(J380:K380)</f>
        <v>-2776</v>
      </c>
      <c r="M380" s="11">
        <f t="shared" ref="M380:M443" si="6">I380+L380</f>
        <v>-1108</v>
      </c>
    </row>
    <row r="381" spans="1:13">
      <c r="A381" s="7">
        <v>44210</v>
      </c>
      <c r="B381" s="8">
        <v>82.84285714285717</v>
      </c>
      <c r="E381" s="13">
        <v>82.6</v>
      </c>
      <c r="F381" s="10">
        <f>AVERAGE($E$368:E381)</f>
        <v>83.814285714285703</v>
      </c>
      <c r="I381" s="11">
        <v>2020</v>
      </c>
      <c r="J381" s="11">
        <f t="shared" si="4"/>
        <v>-1976</v>
      </c>
      <c r="K381" s="11">
        <v>-838</v>
      </c>
      <c r="L381" s="11">
        <f t="shared" si="5"/>
        <v>-2814</v>
      </c>
      <c r="M381" s="11">
        <f t="shared" si="6"/>
        <v>-794</v>
      </c>
    </row>
    <row r="382" spans="1:13">
      <c r="A382" s="7">
        <v>44211</v>
      </c>
      <c r="B382" s="8">
        <v>82.700000000000031</v>
      </c>
      <c r="E382" s="13">
        <v>82.6</v>
      </c>
      <c r="F382" s="10">
        <f>AVERAGE($E$368:E382)</f>
        <v>83.73333333333332</v>
      </c>
      <c r="I382" s="11">
        <v>2503</v>
      </c>
      <c r="J382" s="11">
        <v>-1938</v>
      </c>
      <c r="K382" s="11">
        <v>-841</v>
      </c>
      <c r="L382" s="11">
        <f t="shared" si="5"/>
        <v>-2779</v>
      </c>
      <c r="M382" s="11">
        <f t="shared" si="6"/>
        <v>-276</v>
      </c>
    </row>
    <row r="383" spans="1:13">
      <c r="A383" s="7">
        <v>44212</v>
      </c>
      <c r="B383" s="8">
        <v>82.557142857142892</v>
      </c>
      <c r="E383" s="13">
        <v>82.5</v>
      </c>
      <c r="F383" s="10">
        <f>AVERAGE($E$368:E383)</f>
        <v>83.656249999999986</v>
      </c>
      <c r="I383" s="11">
        <v>3055</v>
      </c>
      <c r="J383" s="11">
        <f t="shared" si="4"/>
        <v>-1938</v>
      </c>
      <c r="K383" s="11">
        <v>-1003</v>
      </c>
      <c r="L383" s="11">
        <f t="shared" si="5"/>
        <v>-2941</v>
      </c>
      <c r="M383" s="11">
        <f t="shared" si="6"/>
        <v>114</v>
      </c>
    </row>
    <row r="384" spans="1:13">
      <c r="A384" s="7">
        <v>44213</v>
      </c>
      <c r="B384" s="8">
        <v>82.414285714285754</v>
      </c>
      <c r="E384" s="13">
        <v>83.5</v>
      </c>
      <c r="F384" s="10">
        <f>AVERAGE($E$368:E384)</f>
        <v>83.647058823529392</v>
      </c>
      <c r="I384" s="11">
        <v>2544</v>
      </c>
      <c r="J384" s="11">
        <f t="shared" ref="J384:J416" si="7">J383</f>
        <v>-1938</v>
      </c>
      <c r="K384" s="11">
        <v>-857</v>
      </c>
      <c r="L384" s="11">
        <f t="shared" si="5"/>
        <v>-2795</v>
      </c>
      <c r="M384" s="11">
        <f t="shared" si="6"/>
        <v>-251</v>
      </c>
    </row>
    <row r="385" spans="1:13">
      <c r="A385" s="7">
        <v>44214</v>
      </c>
      <c r="B385" s="8">
        <v>82.271428571428615</v>
      </c>
      <c r="E385" s="13">
        <v>84.7</v>
      </c>
      <c r="F385" s="10">
        <f>AVERAGE($E$368:E385)</f>
        <v>83.705555555555549</v>
      </c>
      <c r="I385" s="11">
        <v>1875</v>
      </c>
      <c r="J385" s="11">
        <f t="shared" si="7"/>
        <v>-1938</v>
      </c>
      <c r="K385" s="11">
        <v>-979</v>
      </c>
      <c r="L385" s="11">
        <f t="shared" si="5"/>
        <v>-2917</v>
      </c>
      <c r="M385" s="11">
        <f t="shared" si="6"/>
        <v>-1042</v>
      </c>
    </row>
    <row r="386" spans="1:13">
      <c r="A386" s="7">
        <v>44215</v>
      </c>
      <c r="B386" s="8">
        <v>82.128571428571476</v>
      </c>
      <c r="E386" s="13">
        <v>82.5</v>
      </c>
      <c r="F386" s="10">
        <f>AVERAGE($E$368:E386)</f>
        <v>83.642105263157887</v>
      </c>
      <c r="I386" s="11">
        <v>1712</v>
      </c>
      <c r="J386" s="11">
        <f t="shared" si="7"/>
        <v>-1938</v>
      </c>
      <c r="K386" s="11">
        <v>-818</v>
      </c>
      <c r="L386" s="11">
        <f t="shared" si="5"/>
        <v>-2756</v>
      </c>
      <c r="M386" s="11">
        <f t="shared" si="6"/>
        <v>-1044</v>
      </c>
    </row>
    <row r="387" spans="1:13">
      <c r="A387" s="7">
        <v>44216</v>
      </c>
      <c r="B387" s="8">
        <v>81.985714285714337</v>
      </c>
      <c r="E387" s="13">
        <v>83</v>
      </c>
      <c r="F387" s="10">
        <f>AVERAGE($E$368:E387)</f>
        <v>83.609999999999985</v>
      </c>
      <c r="I387" s="11">
        <v>2333</v>
      </c>
      <c r="J387" s="11">
        <f t="shared" si="7"/>
        <v>-1938</v>
      </c>
      <c r="K387" s="11">
        <v>-898</v>
      </c>
      <c r="L387" s="11">
        <f t="shared" si="5"/>
        <v>-2836</v>
      </c>
      <c r="M387" s="11">
        <f t="shared" si="6"/>
        <v>-503</v>
      </c>
    </row>
    <row r="388" spans="1:13">
      <c r="A388" s="7">
        <v>44217</v>
      </c>
      <c r="B388" s="8">
        <v>81.842857142857198</v>
      </c>
      <c r="E388" s="13">
        <v>82.8</v>
      </c>
      <c r="F388" s="10">
        <f>AVERAGE($E$368:E388)</f>
        <v>83.571428571428555</v>
      </c>
      <c r="I388" s="11">
        <v>1715</v>
      </c>
      <c r="J388" s="11">
        <f t="shared" si="7"/>
        <v>-1938</v>
      </c>
      <c r="K388" s="11">
        <v>-1006</v>
      </c>
      <c r="L388" s="11">
        <f t="shared" si="5"/>
        <v>-2944</v>
      </c>
      <c r="M388" s="11">
        <f t="shared" si="6"/>
        <v>-1229</v>
      </c>
    </row>
    <row r="389" spans="1:13">
      <c r="A389" s="7">
        <v>44218</v>
      </c>
      <c r="B389" s="8">
        <v>81.70000000000006</v>
      </c>
      <c r="E389" s="13">
        <v>82.3</v>
      </c>
      <c r="F389" s="10">
        <f>AVERAGE($E$368:E389)</f>
        <v>83.513636363636351</v>
      </c>
      <c r="I389" s="11">
        <v>1852</v>
      </c>
      <c r="J389" s="11">
        <v>-1917</v>
      </c>
      <c r="K389" s="11">
        <v>-858</v>
      </c>
      <c r="L389" s="11">
        <f t="shared" si="5"/>
        <v>-2775</v>
      </c>
      <c r="M389" s="11">
        <f t="shared" si="6"/>
        <v>-923</v>
      </c>
    </row>
    <row r="390" spans="1:13">
      <c r="A390" s="7">
        <v>44219</v>
      </c>
      <c r="B390" s="8">
        <v>81.557142857142921</v>
      </c>
      <c r="E390" s="13">
        <v>82</v>
      </c>
      <c r="F390" s="10">
        <f>AVERAGE($E$368:E390)</f>
        <v>83.44782608695651</v>
      </c>
      <c r="I390" s="11">
        <v>2801</v>
      </c>
      <c r="J390" s="11">
        <f t="shared" si="7"/>
        <v>-1917</v>
      </c>
      <c r="K390" s="11">
        <v>-981</v>
      </c>
      <c r="L390" s="11">
        <f t="shared" si="5"/>
        <v>-2898</v>
      </c>
      <c r="M390" s="11">
        <f t="shared" si="6"/>
        <v>-97</v>
      </c>
    </row>
    <row r="391" spans="1:13">
      <c r="A391" s="7">
        <v>44220</v>
      </c>
      <c r="B391" s="8">
        <v>81.414285714285782</v>
      </c>
      <c r="E391" s="13">
        <v>83</v>
      </c>
      <c r="F391" s="10">
        <f>AVERAGE($E$368:E391)</f>
        <v>83.42916666666666</v>
      </c>
      <c r="I391" s="11">
        <v>2357</v>
      </c>
      <c r="J391" s="11">
        <f t="shared" si="7"/>
        <v>-1917</v>
      </c>
      <c r="K391" s="11">
        <v>-976</v>
      </c>
      <c r="L391" s="11">
        <f t="shared" si="5"/>
        <v>-2893</v>
      </c>
      <c r="M391" s="11">
        <f t="shared" si="6"/>
        <v>-536</v>
      </c>
    </row>
    <row r="392" spans="1:13">
      <c r="A392" s="7">
        <v>44221</v>
      </c>
      <c r="B392" s="8">
        <v>81.271428571428643</v>
      </c>
      <c r="E392" s="13">
        <v>83.7</v>
      </c>
      <c r="F392" s="10">
        <f>AVERAGE($E$368:E392)</f>
        <v>83.439999999999984</v>
      </c>
      <c r="I392" s="11">
        <v>2108</v>
      </c>
      <c r="J392" s="11">
        <f t="shared" si="7"/>
        <v>-1917</v>
      </c>
      <c r="K392" s="11">
        <v>-921</v>
      </c>
      <c r="L392" s="11">
        <f t="shared" si="5"/>
        <v>-2838</v>
      </c>
      <c r="M392" s="11">
        <f t="shared" si="6"/>
        <v>-730</v>
      </c>
    </row>
    <row r="393" spans="1:13">
      <c r="A393" s="7">
        <v>44222</v>
      </c>
      <c r="B393" s="8">
        <v>81.128571428571504</v>
      </c>
      <c r="E393" s="13">
        <v>82</v>
      </c>
      <c r="F393" s="10">
        <f>AVERAGE($E$368:E393)</f>
        <v>83.384615384615373</v>
      </c>
      <c r="I393" s="11">
        <v>1853</v>
      </c>
      <c r="J393" s="11">
        <f t="shared" si="7"/>
        <v>-1917</v>
      </c>
      <c r="K393" s="11">
        <v>-831</v>
      </c>
      <c r="L393" s="11">
        <f t="shared" si="5"/>
        <v>-2748</v>
      </c>
      <c r="M393" s="11">
        <f t="shared" si="6"/>
        <v>-895</v>
      </c>
    </row>
    <row r="394" spans="1:13">
      <c r="A394" s="7">
        <v>44223</v>
      </c>
      <c r="B394" s="8">
        <v>80.985714285714366</v>
      </c>
      <c r="E394" s="13">
        <v>81.7</v>
      </c>
      <c r="F394" s="10">
        <f>AVERAGE($E$368:E394)</f>
        <v>83.322222222222194</v>
      </c>
      <c r="I394" s="11">
        <v>1695</v>
      </c>
      <c r="J394" s="11">
        <f t="shared" si="7"/>
        <v>-1917</v>
      </c>
      <c r="K394" s="11">
        <v>-847</v>
      </c>
      <c r="L394" s="11">
        <f t="shared" si="5"/>
        <v>-2764</v>
      </c>
      <c r="M394" s="11">
        <f t="shared" si="6"/>
        <v>-1069</v>
      </c>
    </row>
    <row r="395" spans="1:13">
      <c r="A395" s="7">
        <v>44224</v>
      </c>
      <c r="B395" s="8">
        <v>80.842857142857227</v>
      </c>
      <c r="E395" s="13">
        <v>82.1</v>
      </c>
      <c r="F395" s="10">
        <f>AVERAGE($E$368:E395)</f>
        <v>83.278571428571396</v>
      </c>
      <c r="I395" s="11">
        <v>2012</v>
      </c>
      <c r="J395" s="11">
        <f t="shared" si="7"/>
        <v>-1917</v>
      </c>
      <c r="K395" s="11">
        <v>-966</v>
      </c>
      <c r="L395" s="11">
        <f t="shared" si="5"/>
        <v>-2883</v>
      </c>
      <c r="M395" s="11">
        <f t="shared" si="6"/>
        <v>-871</v>
      </c>
    </row>
    <row r="396" spans="1:13">
      <c r="A396" s="7">
        <v>44225</v>
      </c>
      <c r="B396" s="8">
        <v>80.700000000000088</v>
      </c>
      <c r="E396" s="13">
        <v>82.3</v>
      </c>
      <c r="F396" s="10">
        <f>AVERAGE($E$368:E396)</f>
        <v>83.244827586206881</v>
      </c>
      <c r="I396" s="11">
        <v>2376</v>
      </c>
      <c r="J396" s="11">
        <f t="shared" si="7"/>
        <v>-1917</v>
      </c>
      <c r="K396" s="11">
        <v>-940</v>
      </c>
      <c r="L396" s="11">
        <f t="shared" si="5"/>
        <v>-2857</v>
      </c>
      <c r="M396" s="11">
        <f t="shared" si="6"/>
        <v>-481</v>
      </c>
    </row>
    <row r="397" spans="1:13">
      <c r="A397" s="7">
        <v>44226</v>
      </c>
      <c r="B397" s="8">
        <v>80.557142857142949</v>
      </c>
      <c r="E397" s="13">
        <v>82.4</v>
      </c>
      <c r="F397" s="10">
        <f>AVERAGE($E$368:E397)</f>
        <v>83.216666666666654</v>
      </c>
      <c r="I397" s="11">
        <v>2953</v>
      </c>
      <c r="J397" s="11">
        <f t="shared" si="7"/>
        <v>-1917</v>
      </c>
      <c r="K397" s="11">
        <v>-1139</v>
      </c>
      <c r="L397" s="11">
        <f t="shared" si="5"/>
        <v>-3056</v>
      </c>
      <c r="M397" s="11">
        <f t="shared" si="6"/>
        <v>-103</v>
      </c>
    </row>
    <row r="398" spans="1:13">
      <c r="A398" s="7">
        <v>44227</v>
      </c>
      <c r="B398" s="8">
        <v>80.414285714285811</v>
      </c>
      <c r="E398" s="13">
        <v>83.4</v>
      </c>
      <c r="F398" s="10">
        <f>AVERAGE($E$368:E398)</f>
        <v>83.222580645161273</v>
      </c>
      <c r="I398" s="11">
        <v>2340</v>
      </c>
      <c r="J398" s="11">
        <f t="shared" si="7"/>
        <v>-1917</v>
      </c>
      <c r="K398" s="11">
        <v>-971</v>
      </c>
      <c r="L398" s="11">
        <f t="shared" si="5"/>
        <v>-2888</v>
      </c>
      <c r="M398" s="11">
        <f t="shared" si="6"/>
        <v>-548</v>
      </c>
    </row>
    <row r="399" spans="1:13">
      <c r="A399" s="7">
        <v>44228</v>
      </c>
      <c r="B399" s="8">
        <v>80.271428571428672</v>
      </c>
      <c r="E399" s="13">
        <v>83.3</v>
      </c>
      <c r="F399" s="10">
        <f>AVERAGE($E$368:E399)</f>
        <v>83.224999999999994</v>
      </c>
      <c r="I399" s="11">
        <v>1795</v>
      </c>
      <c r="J399" s="11">
        <f t="shared" si="7"/>
        <v>-1917</v>
      </c>
      <c r="K399" s="11">
        <v>-990</v>
      </c>
      <c r="L399" s="11">
        <f t="shared" si="5"/>
        <v>-2907</v>
      </c>
      <c r="M399" s="11">
        <f t="shared" si="6"/>
        <v>-1112</v>
      </c>
    </row>
    <row r="400" spans="1:13">
      <c r="A400" s="7">
        <v>44229</v>
      </c>
      <c r="B400" s="8">
        <v>80.128571428571533</v>
      </c>
      <c r="E400" s="13">
        <v>81.8</v>
      </c>
      <c r="F400" s="10">
        <f>AVERAGE($E$368:E400)</f>
        <v>83.181818181818187</v>
      </c>
      <c r="I400" s="11">
        <v>1933</v>
      </c>
      <c r="J400" s="11">
        <f t="shared" si="7"/>
        <v>-1917</v>
      </c>
      <c r="K400" s="11">
        <v>-1059</v>
      </c>
      <c r="L400" s="11">
        <f t="shared" si="5"/>
        <v>-2976</v>
      </c>
      <c r="M400" s="11">
        <f t="shared" si="6"/>
        <v>-1043</v>
      </c>
    </row>
    <row r="401" spans="1:19">
      <c r="A401" s="7">
        <v>44230</v>
      </c>
      <c r="B401" s="8">
        <v>79.985714285714394</v>
      </c>
      <c r="E401" s="13">
        <v>81</v>
      </c>
      <c r="F401" s="10">
        <f>AVERAGE($E$368:E401)</f>
        <v>83.117647058823536</v>
      </c>
      <c r="I401" s="11">
        <v>1833</v>
      </c>
      <c r="J401" s="11">
        <f t="shared" si="7"/>
        <v>-1917</v>
      </c>
      <c r="K401" s="11">
        <v>-800</v>
      </c>
      <c r="L401" s="11">
        <f t="shared" si="5"/>
        <v>-2717</v>
      </c>
      <c r="M401" s="11">
        <f t="shared" si="6"/>
        <v>-884</v>
      </c>
    </row>
    <row r="402" spans="1:19">
      <c r="A402" s="7">
        <v>44231</v>
      </c>
      <c r="B402" s="8">
        <v>79.842857142857255</v>
      </c>
      <c r="E402" s="13">
        <v>81.5</v>
      </c>
      <c r="F402" s="10">
        <f>AVERAGE($E$368:E402)</f>
        <v>83.071428571428569</v>
      </c>
      <c r="I402" s="11">
        <v>2957</v>
      </c>
      <c r="J402" s="11">
        <f t="shared" si="7"/>
        <v>-1917</v>
      </c>
      <c r="K402" s="11">
        <v>-937</v>
      </c>
      <c r="L402" s="11">
        <f t="shared" si="5"/>
        <v>-2854</v>
      </c>
      <c r="M402" s="11">
        <f t="shared" si="6"/>
        <v>103</v>
      </c>
    </row>
    <row r="403" spans="1:19">
      <c r="A403" s="7">
        <v>44232</v>
      </c>
      <c r="B403" s="8">
        <v>81.618059628543975</v>
      </c>
      <c r="E403" s="8">
        <v>82.6</v>
      </c>
      <c r="F403" s="10">
        <f>AVERAGE($E$368:E403)</f>
        <v>83.058333333333337</v>
      </c>
      <c r="I403" s="11">
        <v>1944</v>
      </c>
      <c r="J403" s="11">
        <f t="shared" si="7"/>
        <v>-1917</v>
      </c>
      <c r="K403" s="11">
        <v>-928</v>
      </c>
      <c r="L403" s="11">
        <f t="shared" si="5"/>
        <v>-2845</v>
      </c>
      <c r="M403" s="11">
        <f t="shared" si="6"/>
        <v>-901</v>
      </c>
      <c r="R403" s="20">
        <f>B403-B375</f>
        <v>-2.0819403714560281</v>
      </c>
    </row>
    <row r="404" spans="1:19">
      <c r="A404" s="7">
        <v>44233</v>
      </c>
      <c r="B404" s="8">
        <v>81.551943926064638</v>
      </c>
      <c r="E404" s="8">
        <v>82.2</v>
      </c>
      <c r="F404" s="10">
        <f>AVERAGE($E$368:E404)</f>
        <v>83.035135135135121</v>
      </c>
      <c r="I404" s="11">
        <v>2879</v>
      </c>
      <c r="J404" s="11">
        <f t="shared" si="7"/>
        <v>-1917</v>
      </c>
      <c r="K404" s="11">
        <v>-927</v>
      </c>
      <c r="L404" s="11">
        <f t="shared" si="5"/>
        <v>-2844</v>
      </c>
      <c r="M404" s="11">
        <f t="shared" si="6"/>
        <v>35</v>
      </c>
      <c r="R404">
        <f>A403-A375</f>
        <v>28</v>
      </c>
      <c r="S404">
        <f>1/7</f>
        <v>0.14285714285714285</v>
      </c>
    </row>
    <row r="405" spans="1:19">
      <c r="A405" s="7">
        <v>44234</v>
      </c>
      <c r="B405" s="8">
        <v>81.485828223585301</v>
      </c>
      <c r="E405" s="8">
        <v>83.1</v>
      </c>
      <c r="F405" s="10">
        <f>AVERAGE($E$368:E405)</f>
        <v>83.036842105263148</v>
      </c>
      <c r="I405" s="11">
        <v>2889</v>
      </c>
      <c r="J405" s="11">
        <f t="shared" si="7"/>
        <v>-1917</v>
      </c>
      <c r="K405" s="11">
        <v>-1709</v>
      </c>
      <c r="L405" s="11">
        <f t="shared" si="5"/>
        <v>-3626</v>
      </c>
      <c r="M405" s="11">
        <f t="shared" si="6"/>
        <v>-737</v>
      </c>
    </row>
    <row r="406" spans="1:19">
      <c r="A406" s="7">
        <v>44235</v>
      </c>
      <c r="B406" s="8">
        <v>81.419712521105964</v>
      </c>
      <c r="E406" s="8">
        <v>83.3</v>
      </c>
      <c r="F406" s="10">
        <f>AVERAGE($E$368:E406)</f>
        <v>83.043589743589735</v>
      </c>
      <c r="I406" s="11">
        <v>1844</v>
      </c>
      <c r="J406" s="11">
        <f t="shared" si="7"/>
        <v>-1917</v>
      </c>
      <c r="K406" s="11">
        <v>-839</v>
      </c>
      <c r="L406" s="11">
        <f t="shared" si="5"/>
        <v>-2756</v>
      </c>
      <c r="M406" s="11">
        <f t="shared" si="6"/>
        <v>-912</v>
      </c>
    </row>
    <row r="407" spans="1:19">
      <c r="A407" s="7">
        <v>44236</v>
      </c>
      <c r="B407" s="8">
        <v>81.353596818626627</v>
      </c>
      <c r="E407" s="8">
        <v>82.6</v>
      </c>
      <c r="F407" s="10">
        <f>AVERAGE($E$368:E407)</f>
        <v>83.032499999999999</v>
      </c>
      <c r="I407" s="11">
        <v>2043</v>
      </c>
      <c r="J407" s="11">
        <f t="shared" si="7"/>
        <v>-1917</v>
      </c>
      <c r="K407" s="11">
        <v>-862</v>
      </c>
      <c r="L407" s="11">
        <f t="shared" si="5"/>
        <v>-2779</v>
      </c>
      <c r="M407" s="11">
        <f t="shared" si="6"/>
        <v>-736</v>
      </c>
    </row>
    <row r="408" spans="1:19">
      <c r="A408" s="7">
        <v>44237</v>
      </c>
      <c r="B408" s="8">
        <v>81.287481116147291</v>
      </c>
      <c r="E408" s="8">
        <v>83</v>
      </c>
      <c r="F408" s="10">
        <f>AVERAGE($E$368:E408)</f>
        <v>83.03170731707317</v>
      </c>
      <c r="I408" s="11">
        <v>1738</v>
      </c>
      <c r="J408" s="11">
        <f t="shared" si="7"/>
        <v>-1917</v>
      </c>
      <c r="K408" s="11">
        <v>-984</v>
      </c>
      <c r="L408" s="11">
        <f t="shared" si="5"/>
        <v>-2901</v>
      </c>
      <c r="M408" s="11">
        <f t="shared" si="6"/>
        <v>-1163</v>
      </c>
    </row>
    <row r="409" spans="1:19">
      <c r="A409" s="7">
        <v>44238</v>
      </c>
      <c r="B409" s="8">
        <v>81.221365413667954</v>
      </c>
      <c r="E409" s="8">
        <v>82.7</v>
      </c>
      <c r="F409" s="10">
        <f>AVERAGE($E$368:E409)</f>
        <v>83.023809523809518</v>
      </c>
      <c r="I409" s="11">
        <v>3510</v>
      </c>
      <c r="J409" s="11">
        <f t="shared" si="7"/>
        <v>-1917</v>
      </c>
      <c r="K409" s="11">
        <v>-1337</v>
      </c>
      <c r="L409" s="11">
        <f t="shared" si="5"/>
        <v>-3254</v>
      </c>
      <c r="M409" s="11">
        <f t="shared" si="6"/>
        <v>256</v>
      </c>
    </row>
    <row r="410" spans="1:19">
      <c r="A410" s="7">
        <v>44239</v>
      </c>
      <c r="B410" s="8">
        <v>81.155249711188617</v>
      </c>
      <c r="E410" s="8">
        <v>82.4</v>
      </c>
      <c r="F410" s="10">
        <f>AVERAGE($E$368:E410)</f>
        <v>83.009302325581388</v>
      </c>
      <c r="I410" s="11">
        <v>1956</v>
      </c>
      <c r="J410" s="11">
        <f t="shared" si="7"/>
        <v>-1917</v>
      </c>
      <c r="K410" s="11">
        <v>-939</v>
      </c>
      <c r="L410" s="11">
        <f t="shared" si="5"/>
        <v>-2856</v>
      </c>
      <c r="M410" s="11">
        <f t="shared" si="6"/>
        <v>-900</v>
      </c>
    </row>
    <row r="411" spans="1:19">
      <c r="A411" s="7">
        <v>44240</v>
      </c>
      <c r="B411" s="8">
        <v>81.08913400870928</v>
      </c>
      <c r="E411" s="8">
        <v>82.3</v>
      </c>
      <c r="F411" s="10">
        <f>AVERAGE($E$368:E411)</f>
        <v>82.99318181818181</v>
      </c>
      <c r="I411" s="11">
        <v>2406</v>
      </c>
      <c r="J411" s="11">
        <f t="shared" si="7"/>
        <v>-1917</v>
      </c>
      <c r="K411" s="11">
        <v>-1315</v>
      </c>
      <c r="L411" s="11">
        <f t="shared" si="5"/>
        <v>-3232</v>
      </c>
      <c r="M411" s="11">
        <f t="shared" si="6"/>
        <v>-826</v>
      </c>
    </row>
    <row r="412" spans="1:19">
      <c r="A412" s="7">
        <v>44241</v>
      </c>
      <c r="B412" s="8">
        <v>81.023018306229943</v>
      </c>
      <c r="E412" s="8">
        <v>83.2</v>
      </c>
      <c r="F412" s="10">
        <f>AVERAGE($E$368:E412)</f>
        <v>82.99777777777777</v>
      </c>
      <c r="I412" s="11">
        <v>3059</v>
      </c>
      <c r="J412" s="11">
        <f t="shared" si="7"/>
        <v>-1917</v>
      </c>
      <c r="K412" s="11">
        <v>-1007</v>
      </c>
      <c r="L412" s="11">
        <f t="shared" si="5"/>
        <v>-2924</v>
      </c>
      <c r="M412" s="11">
        <f t="shared" si="6"/>
        <v>135</v>
      </c>
    </row>
    <row r="413" spans="1:19">
      <c r="A413" s="7">
        <v>44242</v>
      </c>
      <c r="B413" s="8">
        <v>80.956902603750606</v>
      </c>
      <c r="E413" s="8">
        <v>83.3</v>
      </c>
      <c r="F413" s="10">
        <f>AVERAGE($E$368:E413)</f>
        <v>83.004347826086956</v>
      </c>
      <c r="I413" s="11">
        <v>1693</v>
      </c>
      <c r="J413" s="11">
        <f t="shared" si="7"/>
        <v>-1917</v>
      </c>
      <c r="K413" s="11">
        <v>-950</v>
      </c>
      <c r="L413" s="11">
        <f t="shared" si="5"/>
        <v>-2867</v>
      </c>
      <c r="M413" s="11">
        <f t="shared" si="6"/>
        <v>-1174</v>
      </c>
    </row>
    <row r="414" spans="1:19">
      <c r="A414" s="7">
        <v>44243</v>
      </c>
      <c r="B414" s="8">
        <v>80.890786901271269</v>
      </c>
      <c r="E414" s="8">
        <v>82.6</v>
      </c>
      <c r="F414" s="10">
        <f>AVERAGE($E$368:E414)</f>
        <v>82.995744680851061</v>
      </c>
      <c r="I414" s="11">
        <v>2024</v>
      </c>
      <c r="J414" s="11">
        <f t="shared" si="7"/>
        <v>-1917</v>
      </c>
      <c r="K414" s="11">
        <v>-806</v>
      </c>
      <c r="L414" s="11">
        <f t="shared" si="5"/>
        <v>-2723</v>
      </c>
      <c r="M414" s="11">
        <f t="shared" si="6"/>
        <v>-699</v>
      </c>
    </row>
    <row r="415" spans="1:19">
      <c r="A415" s="7">
        <v>44244</v>
      </c>
      <c r="B415" s="8">
        <v>80.824671198791933</v>
      </c>
      <c r="E415" s="8">
        <v>82.3</v>
      </c>
      <c r="F415" s="10">
        <f>AVERAGE($E$368:E415)</f>
        <v>82.981250000000003</v>
      </c>
      <c r="I415" s="11">
        <v>1602</v>
      </c>
      <c r="J415" s="11">
        <f t="shared" si="7"/>
        <v>-1917</v>
      </c>
      <c r="K415" s="11">
        <v>-829</v>
      </c>
      <c r="L415" s="11">
        <f t="shared" si="5"/>
        <v>-2746</v>
      </c>
      <c r="M415" s="11">
        <f t="shared" si="6"/>
        <v>-1144</v>
      </c>
    </row>
    <row r="416" spans="1:19">
      <c r="A416" s="7">
        <v>44245</v>
      </c>
      <c r="B416" s="8">
        <v>80.758555496312596</v>
      </c>
      <c r="E416" s="8">
        <v>82.1</v>
      </c>
      <c r="F416" s="10">
        <f>AVERAGE($E$368:E416)</f>
        <v>82.963265306122452</v>
      </c>
      <c r="I416" s="11">
        <v>1905</v>
      </c>
      <c r="J416" s="11">
        <f t="shared" si="7"/>
        <v>-1917</v>
      </c>
      <c r="K416" s="11">
        <v>-803</v>
      </c>
      <c r="L416" s="11">
        <f t="shared" si="5"/>
        <v>-2720</v>
      </c>
      <c r="M416" s="11">
        <f t="shared" si="6"/>
        <v>-815</v>
      </c>
    </row>
    <row r="417" spans="1:13">
      <c r="A417" s="7">
        <v>44246</v>
      </c>
      <c r="B417" s="8">
        <v>80.692439793833259</v>
      </c>
      <c r="E417" s="8">
        <v>82.2</v>
      </c>
      <c r="F417" s="10">
        <f>AVERAGE($E$368:E417)</f>
        <v>82.947999999999993</v>
      </c>
      <c r="I417" s="11">
        <v>1622</v>
      </c>
      <c r="J417" s="11">
        <v>-1912</v>
      </c>
      <c r="K417" s="11">
        <v>-802</v>
      </c>
      <c r="L417" s="11">
        <f t="shared" si="5"/>
        <v>-2714</v>
      </c>
      <c r="M417" s="11">
        <f t="shared" si="6"/>
        <v>-1092</v>
      </c>
    </row>
    <row r="418" spans="1:13">
      <c r="A418" s="7">
        <v>44247</v>
      </c>
      <c r="B418" s="8">
        <v>80.626324091353922</v>
      </c>
      <c r="E418" s="8">
        <v>82.1</v>
      </c>
      <c r="F418" s="10">
        <f>AVERAGE($E$368:E418)</f>
        <v>82.931372549019613</v>
      </c>
      <c r="I418" s="11">
        <v>2229</v>
      </c>
      <c r="J418" s="11">
        <v>-1912</v>
      </c>
      <c r="K418" s="11">
        <v>-1124</v>
      </c>
      <c r="L418" s="11">
        <f t="shared" si="5"/>
        <v>-3036</v>
      </c>
      <c r="M418" s="11">
        <f t="shared" si="6"/>
        <v>-807</v>
      </c>
    </row>
    <row r="419" spans="1:13">
      <c r="A419" s="7">
        <v>44248</v>
      </c>
      <c r="B419" s="8">
        <v>80.560208388874585</v>
      </c>
      <c r="E419" s="8">
        <v>82.3</v>
      </c>
      <c r="F419" s="10">
        <f>AVERAGE($E$368:E419)</f>
        <v>82.919230769230779</v>
      </c>
      <c r="I419" s="11">
        <v>2166</v>
      </c>
      <c r="J419" s="11">
        <v>-1912</v>
      </c>
      <c r="K419" s="11">
        <v>-1101</v>
      </c>
      <c r="L419" s="11">
        <f t="shared" si="5"/>
        <v>-3013</v>
      </c>
      <c r="M419" s="11">
        <f t="shared" si="6"/>
        <v>-847</v>
      </c>
    </row>
    <row r="420" spans="1:13">
      <c r="A420" s="7">
        <v>44249</v>
      </c>
      <c r="B420" s="8">
        <v>80.494092686395248</v>
      </c>
      <c r="E420" s="8">
        <v>82.2</v>
      </c>
      <c r="F420" s="10">
        <f>AVERAGE($E$368:E420)</f>
        <v>82.905660377358487</v>
      </c>
      <c r="I420" s="11">
        <v>1983</v>
      </c>
      <c r="J420" s="11">
        <v>-1912</v>
      </c>
      <c r="K420" s="11">
        <v>-1159</v>
      </c>
      <c r="L420" s="11">
        <f t="shared" si="5"/>
        <v>-3071</v>
      </c>
      <c r="M420" s="11">
        <f t="shared" si="6"/>
        <v>-1088</v>
      </c>
    </row>
    <row r="421" spans="1:13">
      <c r="A421" s="7">
        <v>44250</v>
      </c>
      <c r="B421" s="8">
        <v>80.427976983915912</v>
      </c>
      <c r="E421" s="8">
        <v>81.7</v>
      </c>
      <c r="F421" s="10">
        <f>AVERAGE($E$368:E421)</f>
        <v>82.883333333333326</v>
      </c>
      <c r="I421" s="11">
        <v>1818</v>
      </c>
      <c r="J421" s="11">
        <v>-1912</v>
      </c>
      <c r="K421" s="11">
        <v>-814</v>
      </c>
      <c r="L421" s="11">
        <f t="shared" si="5"/>
        <v>-2726</v>
      </c>
      <c r="M421" s="11">
        <f t="shared" si="6"/>
        <v>-908</v>
      </c>
    </row>
    <row r="422" spans="1:13">
      <c r="A422" s="7">
        <v>44251</v>
      </c>
      <c r="B422" s="8">
        <v>80.361861281436575</v>
      </c>
      <c r="E422" s="8">
        <v>81.599999999999994</v>
      </c>
      <c r="F422" s="10">
        <f>AVERAGE($E$368:E422)</f>
        <v>82.86</v>
      </c>
      <c r="I422" s="11">
        <v>1899</v>
      </c>
      <c r="J422" s="11">
        <v>-1912</v>
      </c>
      <c r="K422" s="11">
        <v>-826</v>
      </c>
      <c r="L422" s="11">
        <f t="shared" si="5"/>
        <v>-2738</v>
      </c>
      <c r="M422" s="11">
        <f t="shared" si="6"/>
        <v>-839</v>
      </c>
    </row>
    <row r="423" spans="1:13">
      <c r="A423" s="7">
        <v>44252</v>
      </c>
      <c r="B423" s="8">
        <v>80.295745578957238</v>
      </c>
      <c r="E423" s="8">
        <v>81.400000000000006</v>
      </c>
      <c r="F423" s="10">
        <f>AVERAGE($E$368:E423)</f>
        <v>82.833928571428572</v>
      </c>
      <c r="I423" s="11">
        <v>1870</v>
      </c>
      <c r="J423" s="11">
        <v>-1912</v>
      </c>
      <c r="K423" s="11">
        <v>-800</v>
      </c>
      <c r="L423" s="11">
        <f t="shared" si="5"/>
        <v>-2712</v>
      </c>
      <c r="M423" s="11">
        <f t="shared" si="6"/>
        <v>-842</v>
      </c>
    </row>
    <row r="424" spans="1:13">
      <c r="A424" s="7">
        <v>44253</v>
      </c>
      <c r="B424" s="8">
        <v>80.229629876477901</v>
      </c>
      <c r="E424" s="8">
        <v>81.400000000000006</v>
      </c>
      <c r="F424" s="10">
        <f>AVERAGE($E$368:E424)</f>
        <v>82.808771929824559</v>
      </c>
      <c r="I424" s="11">
        <v>2511</v>
      </c>
      <c r="J424" s="11">
        <v>-1912</v>
      </c>
      <c r="K424" s="11">
        <v>-906</v>
      </c>
      <c r="L424" s="11">
        <f t="shared" si="5"/>
        <v>-2818</v>
      </c>
      <c r="M424" s="11">
        <f t="shared" si="6"/>
        <v>-307</v>
      </c>
    </row>
    <row r="425" spans="1:13">
      <c r="A425" s="7">
        <v>44254</v>
      </c>
      <c r="B425" s="8">
        <v>80.163514173998564</v>
      </c>
      <c r="E425" s="8">
        <v>81.599999999999994</v>
      </c>
      <c r="F425" s="10">
        <f>AVERAGE($E$368:E425)</f>
        <v>82.787931034482753</v>
      </c>
      <c r="I425" s="11">
        <v>2034</v>
      </c>
      <c r="J425" s="11">
        <v>-1912</v>
      </c>
      <c r="K425" s="11">
        <v>-1515</v>
      </c>
      <c r="L425" s="11">
        <f t="shared" si="5"/>
        <v>-3427</v>
      </c>
      <c r="M425" s="11">
        <f t="shared" si="6"/>
        <v>-1393</v>
      </c>
    </row>
    <row r="426" spans="1:13">
      <c r="A426" s="7">
        <v>44255</v>
      </c>
      <c r="B426" s="8">
        <v>80.097398471519227</v>
      </c>
      <c r="E426" s="8">
        <v>81.2</v>
      </c>
      <c r="F426" s="10">
        <f>AVERAGE($E$368:E426)</f>
        <v>82.761016949152534</v>
      </c>
      <c r="I426" s="11">
        <v>1949</v>
      </c>
      <c r="J426" s="11">
        <v>-1912</v>
      </c>
      <c r="K426" s="11">
        <v>-1157</v>
      </c>
      <c r="L426" s="11">
        <f t="shared" si="5"/>
        <v>-3069</v>
      </c>
      <c r="M426" s="11">
        <f t="shared" si="6"/>
        <v>-1120</v>
      </c>
    </row>
    <row r="427" spans="1:13">
      <c r="A427" s="7">
        <v>44256</v>
      </c>
      <c r="B427" s="8">
        <v>80.03128276903989</v>
      </c>
      <c r="E427" s="8">
        <v>81.7</v>
      </c>
      <c r="F427" s="10">
        <f>AVERAGE($E$368:E427)</f>
        <v>82.743333333333325</v>
      </c>
      <c r="I427" s="11">
        <v>1735</v>
      </c>
      <c r="J427" s="11">
        <v>-1912</v>
      </c>
      <c r="K427" s="11">
        <v>-1104</v>
      </c>
      <c r="L427" s="11">
        <f t="shared" si="5"/>
        <v>-3016</v>
      </c>
      <c r="M427" s="11">
        <f t="shared" si="6"/>
        <v>-1281</v>
      </c>
    </row>
    <row r="428" spans="1:13">
      <c r="A428" s="7">
        <v>44257</v>
      </c>
      <c r="B428" s="8">
        <v>79.965167066560554</v>
      </c>
      <c r="E428" s="8">
        <v>80.099999999999994</v>
      </c>
      <c r="F428" s="10">
        <f>AVERAGE($E$368:E428)</f>
        <v>82.7</v>
      </c>
      <c r="I428" s="11">
        <v>1214</v>
      </c>
      <c r="J428" s="11">
        <v>-1912</v>
      </c>
      <c r="K428" s="11">
        <v>-1374</v>
      </c>
      <c r="L428" s="11">
        <f t="shared" si="5"/>
        <v>-3286</v>
      </c>
      <c r="M428" s="11">
        <f t="shared" si="6"/>
        <v>-2072</v>
      </c>
    </row>
    <row r="429" spans="1:13">
      <c r="A429" s="7">
        <v>44258</v>
      </c>
      <c r="B429" s="8">
        <v>79.899051364081217</v>
      </c>
      <c r="E429" s="8">
        <v>79.900000000000006</v>
      </c>
      <c r="F429" s="10">
        <f>AVERAGE($E$368:E429)</f>
        <v>82.654838709677406</v>
      </c>
      <c r="I429" s="11">
        <v>2676</v>
      </c>
      <c r="J429" s="11">
        <v>-1912</v>
      </c>
      <c r="K429" s="11">
        <v>-920</v>
      </c>
      <c r="L429" s="11">
        <f t="shared" si="5"/>
        <v>-2832</v>
      </c>
      <c r="M429" s="11">
        <f t="shared" si="6"/>
        <v>-156</v>
      </c>
    </row>
    <row r="430" spans="1:13">
      <c r="A430" s="7">
        <v>44259</v>
      </c>
      <c r="B430" s="8">
        <v>79.83293566160188</v>
      </c>
      <c r="E430" s="8">
        <v>80.8</v>
      </c>
      <c r="F430" s="10">
        <f>AVERAGE($E$368:E430)</f>
        <v>82.62539682539682</v>
      </c>
      <c r="I430" s="11">
        <v>1693</v>
      </c>
      <c r="J430" s="11">
        <v>-1912</v>
      </c>
      <c r="K430" s="11">
        <v>-1141</v>
      </c>
      <c r="L430" s="11">
        <f t="shared" si="5"/>
        <v>-3053</v>
      </c>
      <c r="M430" s="11">
        <f t="shared" si="6"/>
        <v>-1360</v>
      </c>
    </row>
    <row r="431" spans="1:13">
      <c r="A431" s="7">
        <v>44260</v>
      </c>
      <c r="B431" s="8">
        <v>79.766819959122543</v>
      </c>
      <c r="E431" s="8">
        <v>80.8</v>
      </c>
      <c r="F431" s="10">
        <f>AVERAGE($E$368:E431)</f>
        <v>82.596874999999997</v>
      </c>
      <c r="I431" s="11">
        <v>1813</v>
      </c>
      <c r="J431" s="11">
        <v>-1912</v>
      </c>
      <c r="K431" s="11">
        <v>-860</v>
      </c>
      <c r="L431" s="11">
        <f t="shared" si="5"/>
        <v>-2772</v>
      </c>
      <c r="M431" s="11">
        <f t="shared" si="6"/>
        <v>-959</v>
      </c>
    </row>
    <row r="432" spans="1:13">
      <c r="A432" s="7">
        <v>44261</v>
      </c>
      <c r="B432" s="8">
        <v>79.700704256643206</v>
      </c>
      <c r="E432" s="8">
        <v>80.7</v>
      </c>
      <c r="F432" s="10">
        <f>AVERAGE($E$368:E432)</f>
        <v>82.567692307692298</v>
      </c>
      <c r="I432" s="11">
        <v>2757</v>
      </c>
      <c r="J432" s="11">
        <v>-1900</v>
      </c>
      <c r="K432" s="11">
        <v>-1063</v>
      </c>
      <c r="L432" s="11">
        <f t="shared" si="5"/>
        <v>-2963</v>
      </c>
      <c r="M432" s="11">
        <f t="shared" si="6"/>
        <v>-206</v>
      </c>
    </row>
    <row r="433" spans="1:13">
      <c r="A433" s="7">
        <v>44262</v>
      </c>
      <c r="B433" s="8">
        <v>79.634588554163869</v>
      </c>
      <c r="E433" s="8">
        <v>81.7</v>
      </c>
      <c r="F433" s="10">
        <f>AVERAGE($E$368:E433)</f>
        <v>82.554545454545448</v>
      </c>
      <c r="I433" s="11">
        <v>2548</v>
      </c>
      <c r="J433" s="11">
        <v>-1900</v>
      </c>
      <c r="K433" s="11">
        <v>-807</v>
      </c>
      <c r="L433" s="11">
        <f t="shared" si="5"/>
        <v>-2707</v>
      </c>
      <c r="M433" s="11">
        <f t="shared" si="6"/>
        <v>-159</v>
      </c>
    </row>
    <row r="434" spans="1:13">
      <c r="A434" s="7">
        <v>44263</v>
      </c>
      <c r="B434" s="8">
        <v>79.568472851684533</v>
      </c>
      <c r="E434" s="8">
        <v>82.4</v>
      </c>
      <c r="F434" s="10">
        <f>AVERAGE($E$368:E434)</f>
        <v>82.552238805970134</v>
      </c>
      <c r="I434" s="11">
        <v>1857</v>
      </c>
      <c r="J434" s="11">
        <v>-1900</v>
      </c>
      <c r="K434" s="11">
        <v>-843</v>
      </c>
      <c r="L434" s="11">
        <f t="shared" si="5"/>
        <v>-2743</v>
      </c>
      <c r="M434" s="11">
        <f t="shared" si="6"/>
        <v>-886</v>
      </c>
    </row>
    <row r="435" spans="1:13">
      <c r="A435" s="7">
        <v>44264</v>
      </c>
      <c r="B435" s="8">
        <v>79.502357149205196</v>
      </c>
      <c r="E435" s="8">
        <v>81</v>
      </c>
      <c r="F435" s="10">
        <f>AVERAGE($E$368:E435)</f>
        <v>82.52941176470587</v>
      </c>
      <c r="I435" s="11">
        <v>2062</v>
      </c>
      <c r="J435" s="11">
        <v>-1900</v>
      </c>
      <c r="K435" s="11">
        <v>-1325</v>
      </c>
      <c r="L435" s="11">
        <f t="shared" si="5"/>
        <v>-3225</v>
      </c>
      <c r="M435" s="11">
        <f t="shared" si="6"/>
        <v>-1163</v>
      </c>
    </row>
    <row r="436" spans="1:13">
      <c r="A436" s="7">
        <v>44265</v>
      </c>
      <c r="B436" s="8">
        <v>79.436241446725859</v>
      </c>
      <c r="E436" s="8">
        <v>80.7</v>
      </c>
      <c r="F436" s="10">
        <f>AVERAGE($E$368:E436)</f>
        <v>82.502898550724623</v>
      </c>
      <c r="I436" s="11">
        <v>2088</v>
      </c>
      <c r="J436" s="11">
        <v>-1900</v>
      </c>
      <c r="K436" s="11">
        <v>-879</v>
      </c>
      <c r="L436" s="11">
        <f t="shared" si="5"/>
        <v>-2779</v>
      </c>
      <c r="M436" s="11">
        <f t="shared" si="6"/>
        <v>-691</v>
      </c>
    </row>
    <row r="437" spans="1:13">
      <c r="A437" s="7">
        <v>44266</v>
      </c>
      <c r="B437" s="8">
        <v>79.370125744246522</v>
      </c>
      <c r="E437" s="8">
        <v>80.7</v>
      </c>
      <c r="F437" s="10">
        <f>AVERAGE($E$368:E437)</f>
        <v>82.477142857142837</v>
      </c>
      <c r="I437" s="11">
        <v>1833</v>
      </c>
      <c r="J437" s="11">
        <v>-1900</v>
      </c>
      <c r="K437" s="11">
        <v>-854</v>
      </c>
      <c r="L437" s="11">
        <f t="shared" si="5"/>
        <v>-2754</v>
      </c>
      <c r="M437" s="11">
        <f t="shared" si="6"/>
        <v>-921</v>
      </c>
    </row>
    <row r="438" spans="1:13">
      <c r="A438" s="7">
        <v>44267</v>
      </c>
      <c r="B438" s="8">
        <v>79.304010041767185</v>
      </c>
      <c r="E438" s="8">
        <v>80.099999999999994</v>
      </c>
      <c r="F438" s="10">
        <f>AVERAGE($E$368:E438)</f>
        <v>82.443661971830977</v>
      </c>
      <c r="I438" s="11">
        <v>1853</v>
      </c>
      <c r="J438" s="11">
        <v>-1900</v>
      </c>
      <c r="K438" s="11">
        <v>-1433</v>
      </c>
      <c r="L438" s="11">
        <f t="shared" si="5"/>
        <v>-3333</v>
      </c>
      <c r="M438" s="11">
        <f t="shared" si="6"/>
        <v>-1480</v>
      </c>
    </row>
    <row r="439" spans="1:13">
      <c r="A439" s="7">
        <v>44268</v>
      </c>
      <c r="B439" s="8">
        <v>79.237894339287848</v>
      </c>
      <c r="E439" s="8">
        <v>79.900000000000006</v>
      </c>
      <c r="F439" s="10">
        <f>AVERAGE($E$368:E439)</f>
        <v>82.408333333333317</v>
      </c>
      <c r="I439" s="11">
        <v>2060</v>
      </c>
      <c r="J439" s="11">
        <v>-1900</v>
      </c>
      <c r="K439" s="11">
        <v>-1270</v>
      </c>
      <c r="L439" s="11">
        <f t="shared" si="5"/>
        <v>-3170</v>
      </c>
      <c r="M439" s="11">
        <f t="shared" si="6"/>
        <v>-1110</v>
      </c>
    </row>
    <row r="440" spans="1:13">
      <c r="A440" s="7">
        <v>44269</v>
      </c>
      <c r="B440" s="8">
        <v>79.171778636808511</v>
      </c>
      <c r="E440" s="8">
        <v>80.400000000000006</v>
      </c>
      <c r="F440" s="10">
        <f>AVERAGE($E$368:E440)</f>
        <v>82.380821917808191</v>
      </c>
      <c r="I440" s="11">
        <v>2803</v>
      </c>
      <c r="J440" s="11">
        <v>-1900</v>
      </c>
      <c r="K440" s="11">
        <v>-822</v>
      </c>
      <c r="L440" s="11">
        <f t="shared" si="5"/>
        <v>-2722</v>
      </c>
      <c r="M440" s="11">
        <f t="shared" si="6"/>
        <v>81</v>
      </c>
    </row>
    <row r="441" spans="1:13">
      <c r="A441" s="7">
        <v>44270</v>
      </c>
      <c r="B441" s="8">
        <v>79.105662934329175</v>
      </c>
      <c r="E441" s="8">
        <v>81.2</v>
      </c>
      <c r="F441" s="10">
        <f>AVERAGE($E$368:E441)</f>
        <v>82.364864864864842</v>
      </c>
      <c r="I441" s="11">
        <v>1653</v>
      </c>
      <c r="J441" s="11">
        <v>-1900</v>
      </c>
      <c r="K441" s="11">
        <v>-825</v>
      </c>
      <c r="L441" s="11">
        <f t="shared" si="5"/>
        <v>-2725</v>
      </c>
      <c r="M441" s="11">
        <f t="shared" si="6"/>
        <v>-1072</v>
      </c>
    </row>
    <row r="442" spans="1:13">
      <c r="A442" s="7">
        <v>44271</v>
      </c>
      <c r="B442" s="8">
        <v>79.039547231849838</v>
      </c>
      <c r="E442" s="8">
        <v>80.099999999999994</v>
      </c>
      <c r="F442" s="10">
        <f>AVERAGE($E$368:E442)</f>
        <v>82.334666666666649</v>
      </c>
      <c r="I442" s="11">
        <v>1947</v>
      </c>
      <c r="J442" s="11">
        <v>-1900</v>
      </c>
      <c r="K442" s="11">
        <v>-1338</v>
      </c>
      <c r="L442" s="11">
        <f t="shared" si="5"/>
        <v>-3238</v>
      </c>
      <c r="M442" s="11">
        <f t="shared" si="6"/>
        <v>-1291</v>
      </c>
    </row>
    <row r="443" spans="1:13">
      <c r="A443" s="7">
        <v>44272</v>
      </c>
      <c r="B443" s="8">
        <v>78.973431529370501</v>
      </c>
      <c r="E443" s="8">
        <v>80</v>
      </c>
      <c r="F443" s="10">
        <f>AVERAGE($E$368:E443)</f>
        <v>82.303947368421035</v>
      </c>
      <c r="I443" s="11">
        <v>2616</v>
      </c>
      <c r="J443" s="11">
        <v>-1900</v>
      </c>
      <c r="K443" s="11">
        <v>-827</v>
      </c>
      <c r="L443" s="11">
        <f t="shared" si="5"/>
        <v>-2727</v>
      </c>
      <c r="M443" s="11">
        <f t="shared" si="6"/>
        <v>-111</v>
      </c>
    </row>
    <row r="444" spans="1:13">
      <c r="A444" s="7">
        <v>44273</v>
      </c>
      <c r="B444" s="8">
        <v>78.907315826891164</v>
      </c>
      <c r="E444" s="8">
        <v>80.7</v>
      </c>
      <c r="F444" s="10">
        <f>AVERAGE($E$368:E444)</f>
        <v>82.283116883116861</v>
      </c>
      <c r="I444" s="11">
        <v>2065</v>
      </c>
      <c r="J444" s="11">
        <v>-1900</v>
      </c>
      <c r="K444" s="11">
        <v>-801</v>
      </c>
      <c r="L444" s="11">
        <f t="shared" ref="L444:L507" si="8">SUM(J444:K444)</f>
        <v>-2701</v>
      </c>
      <c r="M444" s="11">
        <f t="shared" ref="M444:M507" si="9">I444+L444</f>
        <v>-636</v>
      </c>
    </row>
    <row r="445" spans="1:13">
      <c r="A445" s="7">
        <v>44274</v>
      </c>
      <c r="B445" s="8">
        <v>78.841200124411827</v>
      </c>
      <c r="E445" s="8">
        <v>80.8</v>
      </c>
      <c r="F445" s="10">
        <f>AVERAGE($E$368:E445)</f>
        <v>82.264102564102544</v>
      </c>
      <c r="I445" s="11">
        <v>2610</v>
      </c>
      <c r="J445" s="11">
        <v>-1900</v>
      </c>
      <c r="K445" s="11">
        <v>-905</v>
      </c>
      <c r="L445" s="11">
        <f t="shared" si="8"/>
        <v>-2805</v>
      </c>
      <c r="M445" s="11">
        <f t="shared" si="9"/>
        <v>-195</v>
      </c>
    </row>
    <row r="446" spans="1:13">
      <c r="A446" s="7">
        <v>44275</v>
      </c>
      <c r="B446" s="8">
        <v>78.77508442193249</v>
      </c>
      <c r="E446" s="8">
        <v>80.400000000000006</v>
      </c>
      <c r="F446" s="10">
        <f>AVERAGE($E$368:E446)</f>
        <v>82.240506329113899</v>
      </c>
      <c r="I446" s="11">
        <v>2762</v>
      </c>
      <c r="J446" s="11">
        <v>-1900</v>
      </c>
      <c r="K446" s="11">
        <v>-639</v>
      </c>
      <c r="L446" s="11">
        <f t="shared" si="8"/>
        <v>-2539</v>
      </c>
      <c r="M446" s="11">
        <f t="shared" si="9"/>
        <v>223</v>
      </c>
    </row>
    <row r="447" spans="1:13">
      <c r="A447" s="7">
        <v>44276</v>
      </c>
      <c r="B447" s="8">
        <v>78.708968719453154</v>
      </c>
      <c r="E447" s="8">
        <v>81.7</v>
      </c>
      <c r="F447" s="10">
        <f>AVERAGE($E$368:E447)</f>
        <v>82.233749999999972</v>
      </c>
      <c r="I447" s="11">
        <v>2593</v>
      </c>
      <c r="J447" s="11">
        <v>-1900</v>
      </c>
      <c r="K447" s="11">
        <v>-461</v>
      </c>
      <c r="L447" s="11">
        <f t="shared" si="8"/>
        <v>-2361</v>
      </c>
      <c r="M447" s="11">
        <f t="shared" si="9"/>
        <v>232</v>
      </c>
    </row>
    <row r="448" spans="1:13">
      <c r="A448" s="7">
        <v>44277</v>
      </c>
      <c r="B448" s="8">
        <v>78.642853016973817</v>
      </c>
      <c r="E448" s="8">
        <v>82.8</v>
      </c>
      <c r="F448" s="10">
        <f>AVERAGE($E$368:E448)</f>
        <v>82.240740740740719</v>
      </c>
      <c r="I448" s="11">
        <v>1821</v>
      </c>
      <c r="J448" s="11">
        <v>-1900</v>
      </c>
      <c r="K448" s="11">
        <v>-708</v>
      </c>
      <c r="L448" s="11">
        <f t="shared" si="8"/>
        <v>-2608</v>
      </c>
      <c r="M448" s="11">
        <f t="shared" si="9"/>
        <v>-787</v>
      </c>
    </row>
    <row r="449" spans="1:13">
      <c r="A449" s="7">
        <v>44278</v>
      </c>
      <c r="B449" s="8">
        <v>78.57673731449448</v>
      </c>
      <c r="E449" s="8">
        <v>81.3</v>
      </c>
      <c r="F449" s="10">
        <f>AVERAGE($E$368:E449)</f>
        <v>82.229268292682903</v>
      </c>
      <c r="I449" s="11">
        <v>2387</v>
      </c>
      <c r="J449" s="11">
        <v>-1900</v>
      </c>
      <c r="K449" s="11">
        <v>-671</v>
      </c>
      <c r="L449" s="11">
        <f t="shared" si="8"/>
        <v>-2571</v>
      </c>
      <c r="M449" s="11">
        <f t="shared" si="9"/>
        <v>-184</v>
      </c>
    </row>
    <row r="450" spans="1:13">
      <c r="A450" s="7">
        <v>44279</v>
      </c>
      <c r="B450" s="8">
        <v>78.510621612015143</v>
      </c>
      <c r="E450" s="8">
        <v>80.8</v>
      </c>
      <c r="F450" s="10">
        <f>AVERAGE($E$368:E450)</f>
        <v>82.212048192771064</v>
      </c>
      <c r="I450" s="11">
        <v>1642</v>
      </c>
      <c r="J450" s="11">
        <v>-1900</v>
      </c>
      <c r="K450" s="11">
        <v>-674</v>
      </c>
      <c r="L450" s="11">
        <f t="shared" si="8"/>
        <v>-2574</v>
      </c>
      <c r="M450" s="11">
        <f t="shared" si="9"/>
        <v>-932</v>
      </c>
    </row>
    <row r="451" spans="1:13">
      <c r="A451" s="7">
        <v>44280</v>
      </c>
      <c r="B451" s="8">
        <v>78.444505909535806</v>
      </c>
      <c r="E451" s="8">
        <v>80.3</v>
      </c>
      <c r="F451" s="10">
        <f>AVERAGE($E$368:E451)</f>
        <v>82.189285714285703</v>
      </c>
      <c r="I451" s="11">
        <v>1731</v>
      </c>
      <c r="J451" s="11">
        <v>-1900</v>
      </c>
      <c r="K451" s="11">
        <v>-587</v>
      </c>
      <c r="L451" s="11">
        <f t="shared" si="8"/>
        <v>-2487</v>
      </c>
      <c r="M451" s="11">
        <f t="shared" si="9"/>
        <v>-756</v>
      </c>
    </row>
    <row r="452" spans="1:13">
      <c r="A452" s="7">
        <v>44281</v>
      </c>
      <c r="B452" s="8">
        <v>78.378390207056469</v>
      </c>
      <c r="E452" s="8">
        <v>80</v>
      </c>
      <c r="F452" s="10">
        <f>AVERAGE($E$368:E452)</f>
        <v>82.163529411764685</v>
      </c>
      <c r="I452" s="11">
        <v>2297</v>
      </c>
      <c r="J452" s="11">
        <v>-1900</v>
      </c>
      <c r="K452" s="11">
        <v>-646</v>
      </c>
      <c r="L452" s="11">
        <f t="shared" si="8"/>
        <v>-2546</v>
      </c>
      <c r="M452" s="11">
        <f t="shared" si="9"/>
        <v>-249</v>
      </c>
    </row>
    <row r="453" spans="1:13">
      <c r="A453" s="7">
        <v>44282</v>
      </c>
      <c r="B453" s="8">
        <v>78.312274504577132</v>
      </c>
      <c r="E453" s="8">
        <v>80.5</v>
      </c>
      <c r="F453" s="10">
        <f>AVERAGE($E$368:E453)</f>
        <v>82.144186046511606</v>
      </c>
      <c r="I453" s="11">
        <v>3341</v>
      </c>
      <c r="J453" s="11">
        <v>-1900</v>
      </c>
      <c r="K453" s="11">
        <v>-990</v>
      </c>
      <c r="L453" s="11">
        <f t="shared" si="8"/>
        <v>-2890</v>
      </c>
      <c r="M453" s="11">
        <f t="shared" si="9"/>
        <v>451</v>
      </c>
    </row>
    <row r="454" spans="1:13">
      <c r="A454" s="7">
        <v>44283</v>
      </c>
      <c r="B454" s="8">
        <v>78.246158802097796</v>
      </c>
      <c r="E454" s="8">
        <v>81.599999999999994</v>
      </c>
      <c r="F454" s="10">
        <f>AVERAGE($E$368:E454)</f>
        <v>82.137931034482747</v>
      </c>
      <c r="I454" s="11">
        <v>1891</v>
      </c>
      <c r="J454" s="11">
        <v>-1900</v>
      </c>
      <c r="K454" s="11">
        <v>-804</v>
      </c>
      <c r="L454" s="11">
        <f t="shared" si="8"/>
        <v>-2704</v>
      </c>
      <c r="M454" s="11">
        <f t="shared" si="9"/>
        <v>-813</v>
      </c>
    </row>
    <row r="455" spans="1:13">
      <c r="A455" s="7">
        <v>44284</v>
      </c>
      <c r="B455" s="8">
        <v>78.180043099618459</v>
      </c>
      <c r="E455" s="8">
        <v>81.3</v>
      </c>
      <c r="F455" s="10">
        <f>AVERAGE($E$368:E455)</f>
        <v>82.128409090909088</v>
      </c>
      <c r="I455" s="11">
        <v>1658</v>
      </c>
      <c r="J455" s="11">
        <v>-1900</v>
      </c>
      <c r="K455" s="11">
        <v>-836</v>
      </c>
      <c r="L455" s="11">
        <f t="shared" si="8"/>
        <v>-2736</v>
      </c>
      <c r="M455" s="11">
        <f t="shared" si="9"/>
        <v>-1078</v>
      </c>
    </row>
    <row r="456" spans="1:13">
      <c r="A456" s="7">
        <v>44285</v>
      </c>
      <c r="B456" s="8">
        <v>78.113927397139122</v>
      </c>
      <c r="E456" s="8">
        <v>81</v>
      </c>
      <c r="F456" s="10">
        <f>AVERAGE($E$368:E456)</f>
        <v>82.115730337078645</v>
      </c>
      <c r="I456" s="11">
        <v>1932</v>
      </c>
      <c r="J456" s="11">
        <v>-1900</v>
      </c>
      <c r="K456" s="11">
        <v>-630</v>
      </c>
      <c r="L456" s="11">
        <f t="shared" si="8"/>
        <v>-2530</v>
      </c>
      <c r="M456" s="11">
        <f t="shared" si="9"/>
        <v>-598</v>
      </c>
    </row>
    <row r="457" spans="1:13">
      <c r="A457" s="7">
        <v>44286</v>
      </c>
      <c r="B457" s="8">
        <v>78.047811694659785</v>
      </c>
      <c r="E457" s="8">
        <v>80.8</v>
      </c>
      <c r="F457" s="10">
        <f>AVERAGE($E$368:E457)</f>
        <v>82.101111111111109</v>
      </c>
      <c r="I457" s="11">
        <v>2837</v>
      </c>
      <c r="J457" s="11">
        <v>-1900</v>
      </c>
      <c r="K457" s="11">
        <v>-686</v>
      </c>
      <c r="L457" s="11">
        <f t="shared" si="8"/>
        <v>-2586</v>
      </c>
      <c r="M457" s="11">
        <f t="shared" si="9"/>
        <v>251</v>
      </c>
    </row>
    <row r="458" spans="1:13">
      <c r="A458" s="7">
        <v>44287</v>
      </c>
      <c r="B458" s="8">
        <v>79.981695992180448</v>
      </c>
      <c r="E458" s="8">
        <v>81.2</v>
      </c>
      <c r="F458" s="10">
        <f>AVERAGE($E$368:E458)</f>
        <v>82.091208791208786</v>
      </c>
      <c r="I458" s="11">
        <v>2312</v>
      </c>
      <c r="J458" s="11">
        <v>-1900</v>
      </c>
      <c r="K458" s="11">
        <v>-673</v>
      </c>
      <c r="L458" s="11">
        <f t="shared" si="8"/>
        <v>-2573</v>
      </c>
      <c r="M458" s="11">
        <f t="shared" si="9"/>
        <v>-261</v>
      </c>
    </row>
    <row r="459" spans="1:13">
      <c r="A459" s="7">
        <v>44288</v>
      </c>
      <c r="B459" s="8">
        <v>79.915580289701111</v>
      </c>
      <c r="E459" s="8">
        <v>81.8</v>
      </c>
      <c r="F459" s="10">
        <f>AVERAGE($E$368:E459)</f>
        <v>82.088043478260857</v>
      </c>
      <c r="I459" s="11">
        <v>2241</v>
      </c>
      <c r="J459" s="11">
        <v>-1900</v>
      </c>
      <c r="K459" s="11">
        <v>-715</v>
      </c>
      <c r="L459" s="11">
        <f t="shared" si="8"/>
        <v>-2615</v>
      </c>
      <c r="M459" s="11">
        <f t="shared" si="9"/>
        <v>-374</v>
      </c>
    </row>
    <row r="460" spans="1:13">
      <c r="A460" s="7">
        <v>44289</v>
      </c>
      <c r="B460" s="8">
        <v>79.849464587221775</v>
      </c>
      <c r="E460" s="8">
        <v>81.400000000000006</v>
      </c>
      <c r="F460" s="10">
        <f>AVERAGE($E$368:E460)</f>
        <v>82.080645161290306</v>
      </c>
      <c r="I460" s="11">
        <v>3021</v>
      </c>
      <c r="J460" s="11">
        <v>-1900</v>
      </c>
      <c r="K460" s="11">
        <v>-1063</v>
      </c>
      <c r="L460" s="11">
        <f t="shared" si="8"/>
        <v>-2963</v>
      </c>
      <c r="M460" s="11">
        <f t="shared" si="9"/>
        <v>58</v>
      </c>
    </row>
    <row r="461" spans="1:13">
      <c r="A461" s="7">
        <v>44290</v>
      </c>
      <c r="B461" s="8">
        <v>79.783348884742438</v>
      </c>
      <c r="E461" s="8">
        <v>83.2</v>
      </c>
      <c r="F461" s="10">
        <f>AVERAGE($E$368:E461)</f>
        <v>82.092553191489344</v>
      </c>
      <c r="I461" s="11">
        <v>4094</v>
      </c>
      <c r="J461" s="11">
        <v>-1900</v>
      </c>
      <c r="K461" s="11">
        <v>-1223</v>
      </c>
      <c r="L461" s="11">
        <f t="shared" si="8"/>
        <v>-3123</v>
      </c>
      <c r="M461" s="11">
        <f t="shared" si="9"/>
        <v>971</v>
      </c>
    </row>
    <row r="462" spans="1:13">
      <c r="A462" s="7">
        <v>44291</v>
      </c>
      <c r="B462" s="8">
        <v>79.717233182263101</v>
      </c>
      <c r="E462" s="8">
        <v>83.8</v>
      </c>
      <c r="F462" s="10">
        <f>AVERAGE($E$368:E462)</f>
        <v>82.110526315789471</v>
      </c>
      <c r="I462" s="11">
        <v>3958</v>
      </c>
      <c r="J462" s="11">
        <v>-1900</v>
      </c>
      <c r="K462" s="11">
        <v>-1153</v>
      </c>
      <c r="L462" s="11">
        <f t="shared" si="8"/>
        <v>-3053</v>
      </c>
      <c r="M462" s="11">
        <f t="shared" si="9"/>
        <v>905</v>
      </c>
    </row>
    <row r="463" spans="1:13">
      <c r="A463" s="7">
        <v>44292</v>
      </c>
      <c r="B463" s="8">
        <v>79.651117479783764</v>
      </c>
      <c r="E463" s="8">
        <v>84.9</v>
      </c>
      <c r="F463" s="10">
        <f>AVERAGE($E$368:E463)</f>
        <v>82.13958333333332</v>
      </c>
      <c r="I463" s="11">
        <v>2408</v>
      </c>
      <c r="J463" s="11">
        <v>-1900</v>
      </c>
      <c r="K463" s="11">
        <v>-554</v>
      </c>
      <c r="L463" s="11">
        <f t="shared" si="8"/>
        <v>-2454</v>
      </c>
      <c r="M463" s="11">
        <f t="shared" si="9"/>
        <v>-46</v>
      </c>
    </row>
    <row r="464" spans="1:13">
      <c r="A464" s="7">
        <v>44293</v>
      </c>
      <c r="B464" s="8">
        <v>79.585001777304427</v>
      </c>
      <c r="E464" s="8">
        <v>83.2</v>
      </c>
      <c r="F464" s="10">
        <f>AVERAGE($E$368:E464)</f>
        <v>82.150515463917515</v>
      </c>
      <c r="I464" s="11">
        <v>2074</v>
      </c>
      <c r="J464" s="11">
        <v>-1900</v>
      </c>
      <c r="K464" s="11">
        <v>-735</v>
      </c>
      <c r="L464" s="11">
        <f t="shared" si="8"/>
        <v>-2635</v>
      </c>
      <c r="M464" s="11">
        <f t="shared" si="9"/>
        <v>-561</v>
      </c>
    </row>
    <row r="465" spans="1:13">
      <c r="A465" s="7">
        <v>44294</v>
      </c>
      <c r="B465" s="8">
        <v>79.51888607482509</v>
      </c>
      <c r="E465" s="8">
        <v>82.6</v>
      </c>
      <c r="F465" s="10">
        <f>AVERAGE($E$368:E465)</f>
        <v>82.155102040816317</v>
      </c>
      <c r="I465" s="11">
        <v>1877</v>
      </c>
      <c r="J465" s="11">
        <v>-1900</v>
      </c>
      <c r="K465" s="11">
        <v>-686</v>
      </c>
      <c r="L465" s="11">
        <f t="shared" si="8"/>
        <v>-2586</v>
      </c>
      <c r="M465" s="11">
        <f t="shared" si="9"/>
        <v>-709</v>
      </c>
    </row>
    <row r="466" spans="1:13">
      <c r="A466" s="7">
        <v>44295</v>
      </c>
      <c r="B466" s="8">
        <v>79.452770372345753</v>
      </c>
      <c r="E466" s="8">
        <v>82.1</v>
      </c>
      <c r="F466" s="10">
        <f>AVERAGE($E$368:E466)</f>
        <v>82.154545454545442</v>
      </c>
      <c r="I466" s="11">
        <v>1852</v>
      </c>
      <c r="J466" s="11">
        <v>-1900</v>
      </c>
      <c r="K466" s="11">
        <v>-648</v>
      </c>
      <c r="L466" s="11">
        <f t="shared" si="8"/>
        <v>-2548</v>
      </c>
      <c r="M466" s="11">
        <f t="shared" si="9"/>
        <v>-696</v>
      </c>
    </row>
    <row r="467" spans="1:13">
      <c r="A467" s="7">
        <v>44296</v>
      </c>
      <c r="B467" s="8">
        <v>79.386654669866417</v>
      </c>
      <c r="E467" s="8">
        <v>81.7</v>
      </c>
      <c r="F467" s="10">
        <f>AVERAGE($E$368:E467)</f>
        <v>82.15</v>
      </c>
      <c r="I467" s="11">
        <v>2348</v>
      </c>
      <c r="J467" s="11">
        <v>-1900</v>
      </c>
      <c r="K467" s="11">
        <v>-1256</v>
      </c>
      <c r="L467" s="11">
        <f t="shared" si="8"/>
        <v>-3156</v>
      </c>
      <c r="M467" s="11">
        <f t="shared" si="9"/>
        <v>-808</v>
      </c>
    </row>
    <row r="468" spans="1:13">
      <c r="A468" s="7">
        <v>44297</v>
      </c>
      <c r="B468" s="8">
        <v>79.32053896738708</v>
      </c>
      <c r="E468" s="8">
        <v>82.9</v>
      </c>
      <c r="F468" s="10">
        <f>AVERAGE($E$368:E468)</f>
        <v>82.157425742574247</v>
      </c>
      <c r="I468" s="11">
        <v>1977</v>
      </c>
      <c r="J468" s="11">
        <v>-1900</v>
      </c>
      <c r="K468" s="11">
        <v>-871</v>
      </c>
      <c r="L468" s="11">
        <f t="shared" si="8"/>
        <v>-2771</v>
      </c>
      <c r="M468" s="11">
        <f t="shared" si="9"/>
        <v>-794</v>
      </c>
    </row>
    <row r="469" spans="1:13">
      <c r="A469" s="7">
        <v>44298</v>
      </c>
      <c r="B469" s="8">
        <v>79.254423264907743</v>
      </c>
      <c r="E469" s="8">
        <v>83.4</v>
      </c>
      <c r="F469" s="10">
        <f>AVERAGE($E$368:E469)</f>
        <v>82.169607843137243</v>
      </c>
      <c r="I469" s="11">
        <v>2094</v>
      </c>
      <c r="J469" s="11">
        <v>-1900</v>
      </c>
      <c r="K469" s="11">
        <v>-689</v>
      </c>
      <c r="L469" s="11">
        <f t="shared" si="8"/>
        <v>-2589</v>
      </c>
      <c r="M469" s="11">
        <f t="shared" si="9"/>
        <v>-495</v>
      </c>
    </row>
    <row r="470" spans="1:13">
      <c r="A470" s="7">
        <v>44299</v>
      </c>
      <c r="B470" s="8">
        <v>79.188307562428406</v>
      </c>
      <c r="E470" s="8">
        <v>82.6</v>
      </c>
      <c r="F470" s="10">
        <f>AVERAGE($E$368:E470)</f>
        <v>82.173786407766983</v>
      </c>
      <c r="I470" s="11">
        <v>2354</v>
      </c>
      <c r="J470" s="11">
        <v>-1900</v>
      </c>
      <c r="K470" s="11">
        <v>-727</v>
      </c>
      <c r="L470" s="11">
        <f t="shared" si="8"/>
        <v>-2627</v>
      </c>
      <c r="M470" s="11">
        <f t="shared" si="9"/>
        <v>-273</v>
      </c>
    </row>
    <row r="471" spans="1:13">
      <c r="A471" s="7">
        <v>44300</v>
      </c>
      <c r="B471" s="8">
        <v>79.122191859949069</v>
      </c>
      <c r="E471" s="8">
        <v>81.8</v>
      </c>
      <c r="F471" s="10">
        <f>AVERAGE($E$368:E471)</f>
        <v>82.170192307692304</v>
      </c>
      <c r="I471" s="11">
        <v>1733</v>
      </c>
      <c r="J471" s="11">
        <v>-1900</v>
      </c>
      <c r="K471" s="11">
        <v>-598</v>
      </c>
      <c r="L471" s="11">
        <f t="shared" si="8"/>
        <v>-2498</v>
      </c>
      <c r="M471" s="11">
        <f t="shared" si="9"/>
        <v>-765</v>
      </c>
    </row>
    <row r="472" spans="1:13">
      <c r="A472" s="7">
        <v>44301</v>
      </c>
      <c r="B472" s="8">
        <v>79.056076157469732</v>
      </c>
      <c r="E472" s="8">
        <v>81.5</v>
      </c>
      <c r="F472" s="10">
        <f>AVERAGE($E$368:E472)</f>
        <v>82.163809523809519</v>
      </c>
      <c r="I472" s="11">
        <v>1928</v>
      </c>
      <c r="J472" s="11">
        <v>-1900</v>
      </c>
      <c r="K472" s="11">
        <v>-822</v>
      </c>
      <c r="L472" s="11">
        <f t="shared" si="8"/>
        <v>-2722</v>
      </c>
      <c r="M472" s="11">
        <f t="shared" si="9"/>
        <v>-794</v>
      </c>
    </row>
    <row r="473" spans="1:13">
      <c r="A473" s="7">
        <v>44302</v>
      </c>
      <c r="B473" s="8">
        <v>78.989960454990396</v>
      </c>
      <c r="E473" s="8">
        <v>82.1</v>
      </c>
      <c r="F473" s="10">
        <f>AVERAGE($E$368:E473)</f>
        <v>82.163207547169804</v>
      </c>
      <c r="I473" s="11">
        <v>2541</v>
      </c>
      <c r="J473" s="11">
        <v>-1900</v>
      </c>
      <c r="K473" s="11">
        <v>-647</v>
      </c>
      <c r="L473" s="11">
        <f t="shared" si="8"/>
        <v>-2547</v>
      </c>
      <c r="M473" s="11">
        <f t="shared" si="9"/>
        <v>-6</v>
      </c>
    </row>
    <row r="474" spans="1:13">
      <c r="A474" s="7">
        <v>44303</v>
      </c>
      <c r="B474" s="8">
        <v>78.923844752511059</v>
      </c>
      <c r="E474" s="8">
        <v>81.7</v>
      </c>
      <c r="F474" s="10">
        <f>AVERAGE($E$368:E474)</f>
        <v>82.158878504672899</v>
      </c>
      <c r="I474" s="11">
        <v>2451</v>
      </c>
      <c r="J474" s="11">
        <v>-1900</v>
      </c>
      <c r="K474" s="11">
        <v>-1006</v>
      </c>
      <c r="L474" s="11">
        <f t="shared" si="8"/>
        <v>-2906</v>
      </c>
      <c r="M474" s="11">
        <f t="shared" si="9"/>
        <v>-455</v>
      </c>
    </row>
    <row r="475" spans="1:13">
      <c r="A475" s="7">
        <v>44304</v>
      </c>
      <c r="B475" s="8">
        <v>78.857729050031722</v>
      </c>
      <c r="E475" s="8">
        <v>83.3</v>
      </c>
      <c r="F475" s="10">
        <f>AVERAGE($E$368:E475)</f>
        <v>82.169444444444437</v>
      </c>
      <c r="I475" s="11">
        <v>2883</v>
      </c>
      <c r="J475" s="11">
        <v>-1900</v>
      </c>
      <c r="K475" s="11">
        <v>-1354</v>
      </c>
      <c r="L475" s="11">
        <f t="shared" si="8"/>
        <v>-3254</v>
      </c>
      <c r="M475" s="11">
        <f t="shared" si="9"/>
        <v>-371</v>
      </c>
    </row>
    <row r="476" spans="1:13">
      <c r="A476" s="7">
        <v>44305</v>
      </c>
      <c r="B476" s="8">
        <v>78.791613347552385</v>
      </c>
      <c r="E476" s="8">
        <v>83.1</v>
      </c>
      <c r="F476" s="10">
        <f>AVERAGE($E$368:E476)</f>
        <v>82.177981651376143</v>
      </c>
      <c r="I476" s="11">
        <v>1930</v>
      </c>
      <c r="J476" s="11">
        <v>-1900</v>
      </c>
      <c r="K476" s="11">
        <v>-714</v>
      </c>
      <c r="L476" s="11">
        <f t="shared" si="8"/>
        <v>-2614</v>
      </c>
      <c r="M476" s="11">
        <f t="shared" si="9"/>
        <v>-684</v>
      </c>
    </row>
    <row r="477" spans="1:13">
      <c r="A477" s="7">
        <v>44306</v>
      </c>
      <c r="B477" s="8">
        <v>78.725497645073048</v>
      </c>
      <c r="E477" s="8">
        <v>82</v>
      </c>
      <c r="F477" s="10">
        <f>AVERAGE($E$368:E477)</f>
        <v>82.176363636363632</v>
      </c>
      <c r="I477" s="11">
        <v>1920</v>
      </c>
      <c r="J477" s="11">
        <v>-1900</v>
      </c>
      <c r="K477" s="11">
        <v>-889</v>
      </c>
      <c r="L477" s="11">
        <f t="shared" si="8"/>
        <v>-2789</v>
      </c>
      <c r="M477" s="11">
        <f t="shared" si="9"/>
        <v>-869</v>
      </c>
    </row>
    <row r="478" spans="1:13">
      <c r="A478" s="7">
        <v>44307</v>
      </c>
      <c r="B478" s="8">
        <v>78.659381942593711</v>
      </c>
      <c r="E478" s="8">
        <v>81.7</v>
      </c>
      <c r="F478" s="10">
        <f>AVERAGE($E$368:E478)</f>
        <v>82.172072072072069</v>
      </c>
      <c r="I478" s="11">
        <v>2357</v>
      </c>
      <c r="J478" s="11">
        <v>-1900</v>
      </c>
      <c r="K478" s="11">
        <v>-641</v>
      </c>
      <c r="L478" s="11">
        <f t="shared" si="8"/>
        <v>-2541</v>
      </c>
      <c r="M478" s="11">
        <f t="shared" si="9"/>
        <v>-184</v>
      </c>
    </row>
    <row r="479" spans="1:13">
      <c r="A479" s="7">
        <v>44308</v>
      </c>
      <c r="B479" s="8">
        <v>78.593266240114374</v>
      </c>
      <c r="E479" s="8">
        <v>82.6</v>
      </c>
      <c r="F479" s="10">
        <f>AVERAGE($E$368:E479)</f>
        <v>82.17589285714287</v>
      </c>
      <c r="I479" s="11">
        <v>1844</v>
      </c>
      <c r="J479" s="11">
        <v>-1900</v>
      </c>
      <c r="K479" s="11">
        <v>-725</v>
      </c>
      <c r="L479" s="11">
        <f t="shared" si="8"/>
        <v>-2625</v>
      </c>
      <c r="M479" s="11">
        <f t="shared" si="9"/>
        <v>-781</v>
      </c>
    </row>
    <row r="480" spans="1:13">
      <c r="A480" s="7">
        <v>44309</v>
      </c>
      <c r="B480" s="8">
        <v>78.527150537635038</v>
      </c>
      <c r="E480" s="8">
        <v>82</v>
      </c>
      <c r="F480" s="10">
        <f>AVERAGE($E$368:E480)</f>
        <v>82.174336283185852</v>
      </c>
      <c r="I480" s="11">
        <v>2764</v>
      </c>
      <c r="J480" s="11">
        <v>-1900</v>
      </c>
      <c r="K480" s="11">
        <v>-735</v>
      </c>
      <c r="L480" s="11">
        <f t="shared" si="8"/>
        <v>-2635</v>
      </c>
      <c r="M480" s="11">
        <f t="shared" si="9"/>
        <v>129</v>
      </c>
    </row>
    <row r="481" spans="1:13">
      <c r="A481" s="7">
        <v>44310</v>
      </c>
      <c r="B481" s="8">
        <v>78.461034835155701</v>
      </c>
      <c r="E481" s="8">
        <v>82.9</v>
      </c>
      <c r="F481" s="10">
        <f>AVERAGE($E$368:E481)</f>
        <v>82.180701754385964</v>
      </c>
      <c r="I481" s="11">
        <v>2707</v>
      </c>
      <c r="J481" s="11">
        <v>-1900</v>
      </c>
      <c r="K481" s="11">
        <v>-952</v>
      </c>
      <c r="L481" s="11">
        <f t="shared" si="8"/>
        <v>-2852</v>
      </c>
      <c r="M481" s="11">
        <f t="shared" si="9"/>
        <v>-145</v>
      </c>
    </row>
    <row r="482" spans="1:13">
      <c r="A482" s="7">
        <v>44311</v>
      </c>
      <c r="B482" s="8">
        <v>78.394919132676364</v>
      </c>
      <c r="E482" s="8">
        <v>83.3</v>
      </c>
      <c r="F482" s="10">
        <f>AVERAGE($E$368:E482)</f>
        <v>82.190434782608691</v>
      </c>
      <c r="I482" s="11">
        <v>2371</v>
      </c>
      <c r="J482" s="11">
        <v>-1900</v>
      </c>
      <c r="K482" s="11">
        <v>-1273</v>
      </c>
      <c r="L482" s="11">
        <f t="shared" si="8"/>
        <v>-3173</v>
      </c>
      <c r="M482" s="11">
        <f t="shared" si="9"/>
        <v>-802</v>
      </c>
    </row>
    <row r="483" spans="1:13">
      <c r="A483" s="7">
        <v>44312</v>
      </c>
      <c r="B483" s="8">
        <v>78.328803430197027</v>
      </c>
      <c r="E483" s="8">
        <v>83.1</v>
      </c>
      <c r="F483" s="10">
        <f>AVERAGE($E$368:E483)</f>
        <v>82.198275862068968</v>
      </c>
      <c r="I483" s="11">
        <v>1518</v>
      </c>
      <c r="J483" s="11">
        <v>-1900</v>
      </c>
      <c r="K483" s="11">
        <v>-817</v>
      </c>
      <c r="L483" s="11">
        <f t="shared" si="8"/>
        <v>-2717</v>
      </c>
      <c r="M483" s="11">
        <f t="shared" si="9"/>
        <v>-1199</v>
      </c>
    </row>
    <row r="484" spans="1:13">
      <c r="A484" s="7">
        <v>44313</v>
      </c>
      <c r="B484" s="8">
        <v>78.26268772771769</v>
      </c>
      <c r="E484" s="8">
        <v>81</v>
      </c>
      <c r="F484" s="10">
        <f>AVERAGE($E$368:E484)</f>
        <v>82.188034188034194</v>
      </c>
      <c r="I484" s="11">
        <v>1781</v>
      </c>
      <c r="J484" s="11">
        <v>-1900</v>
      </c>
      <c r="K484" s="11">
        <v>-768</v>
      </c>
      <c r="L484" s="11">
        <f t="shared" si="8"/>
        <v>-2668</v>
      </c>
      <c r="M484" s="11">
        <f t="shared" si="9"/>
        <v>-887</v>
      </c>
    </row>
    <row r="485" spans="1:13">
      <c r="A485" s="7">
        <v>44314</v>
      </c>
      <c r="B485" s="8">
        <v>78.196572025238353</v>
      </c>
      <c r="E485" s="8">
        <v>81.900000000000006</v>
      </c>
      <c r="F485" s="10">
        <f>AVERAGE($E$368:E485)</f>
        <v>82.185593220338987</v>
      </c>
      <c r="I485" s="11">
        <v>2335</v>
      </c>
      <c r="J485" s="11">
        <v>-1900</v>
      </c>
      <c r="K485" s="11">
        <v>-890</v>
      </c>
      <c r="L485" s="11">
        <f t="shared" si="8"/>
        <v>-2790</v>
      </c>
      <c r="M485" s="11">
        <f t="shared" si="9"/>
        <v>-455</v>
      </c>
    </row>
    <row r="486" spans="1:13">
      <c r="A486" s="7">
        <v>44315</v>
      </c>
      <c r="B486" s="8">
        <v>78.130456322759017</v>
      </c>
      <c r="E486" s="8">
        <v>81.3</v>
      </c>
      <c r="F486" s="10">
        <f>AVERAGE($E$368:E486)</f>
        <v>82.178151260504194</v>
      </c>
      <c r="I486" s="11">
        <v>1975</v>
      </c>
      <c r="J486" s="11">
        <v>-1900</v>
      </c>
      <c r="K486" s="11">
        <v>-669</v>
      </c>
      <c r="L486" s="11">
        <f t="shared" si="8"/>
        <v>-2569</v>
      </c>
      <c r="M486" s="11">
        <f t="shared" si="9"/>
        <v>-594</v>
      </c>
    </row>
    <row r="487" spans="1:13">
      <c r="A487" s="7">
        <v>44316</v>
      </c>
      <c r="B487" s="8">
        <v>78.06434062027968</v>
      </c>
      <c r="E487" s="8">
        <v>81.8</v>
      </c>
      <c r="F487" s="10">
        <f>AVERAGE($E$368:E487)</f>
        <v>82.174999999999983</v>
      </c>
      <c r="I487" s="11">
        <v>2562</v>
      </c>
      <c r="J487" s="11">
        <v>-1900</v>
      </c>
      <c r="K487" s="11">
        <v>-930</v>
      </c>
      <c r="L487" s="11">
        <f t="shared" si="8"/>
        <v>-2830</v>
      </c>
      <c r="M487" s="11">
        <f t="shared" si="9"/>
        <v>-268</v>
      </c>
    </row>
    <row r="488" spans="1:13">
      <c r="A488" s="7">
        <v>44317</v>
      </c>
      <c r="B488" s="8">
        <v>79.998224917800343</v>
      </c>
      <c r="E488" s="8">
        <v>82.1</v>
      </c>
      <c r="F488" s="10">
        <f>AVERAGE($E$368:E488)</f>
        <v>82.17438016528925</v>
      </c>
      <c r="I488" s="11">
        <v>2641</v>
      </c>
      <c r="J488" s="11">
        <v>-1900</v>
      </c>
      <c r="K488" s="11">
        <v>-794</v>
      </c>
      <c r="L488" s="11">
        <f t="shared" si="8"/>
        <v>-2694</v>
      </c>
      <c r="M488" s="11">
        <f t="shared" si="9"/>
        <v>-53</v>
      </c>
    </row>
    <row r="489" spans="1:13">
      <c r="A489" s="7">
        <v>44318</v>
      </c>
      <c r="B489" s="8">
        <v>79.932109215321006</v>
      </c>
      <c r="E489" s="8">
        <v>82.9</v>
      </c>
      <c r="F489" s="10">
        <f>AVERAGE($E$368:E489)</f>
        <v>82.180327868852444</v>
      </c>
      <c r="I489" s="11">
        <v>2824</v>
      </c>
      <c r="J489" s="11">
        <v>-1900</v>
      </c>
      <c r="K489" s="11">
        <v>-667</v>
      </c>
      <c r="L489" s="11">
        <f t="shared" si="8"/>
        <v>-2567</v>
      </c>
      <c r="M489" s="11">
        <f t="shared" si="9"/>
        <v>257</v>
      </c>
    </row>
    <row r="490" spans="1:13">
      <c r="A490" s="7">
        <v>44319</v>
      </c>
      <c r="B490" s="8">
        <v>79.865993512841669</v>
      </c>
      <c r="E490" s="8">
        <v>82.9</v>
      </c>
      <c r="F490" s="10">
        <f>AVERAGE($E$368:E490)</f>
        <v>82.186178861788605</v>
      </c>
      <c r="I490" s="11">
        <v>2683</v>
      </c>
      <c r="J490" s="11">
        <v>-1900</v>
      </c>
      <c r="K490" s="11">
        <v>-535</v>
      </c>
      <c r="L490" s="11">
        <f t="shared" si="8"/>
        <v>-2435</v>
      </c>
      <c r="M490" s="11">
        <f t="shared" si="9"/>
        <v>248</v>
      </c>
    </row>
    <row r="491" spans="1:13">
      <c r="A491" s="7">
        <v>44320</v>
      </c>
      <c r="B491" s="8">
        <v>79.799877810362332</v>
      </c>
      <c r="E491" s="8">
        <v>83.2</v>
      </c>
      <c r="F491" s="10">
        <f>AVERAGE($E$368:E491)</f>
        <v>82.194354838709671</v>
      </c>
      <c r="I491" s="11">
        <v>1316</v>
      </c>
      <c r="J491" s="11">
        <v>-1900</v>
      </c>
      <c r="K491" s="11">
        <v>-843</v>
      </c>
      <c r="L491" s="11">
        <f t="shared" si="8"/>
        <v>-2743</v>
      </c>
      <c r="M491" s="11">
        <f t="shared" si="9"/>
        <v>-1427</v>
      </c>
    </row>
    <row r="492" spans="1:13">
      <c r="A492" s="7">
        <v>44321</v>
      </c>
      <c r="B492" s="8">
        <v>79.733762107882995</v>
      </c>
      <c r="E492" s="8">
        <v>81.900000000000006</v>
      </c>
      <c r="F492" s="10">
        <f>AVERAGE($E$368:E492)</f>
        <v>82.191999999999979</v>
      </c>
      <c r="I492" s="11">
        <v>2020</v>
      </c>
      <c r="J492" s="11">
        <v>-1900</v>
      </c>
      <c r="K492" s="11">
        <v>-645</v>
      </c>
      <c r="L492" s="11">
        <f t="shared" si="8"/>
        <v>-2545</v>
      </c>
      <c r="M492" s="11">
        <f t="shared" si="9"/>
        <v>-525</v>
      </c>
    </row>
    <row r="493" spans="1:13">
      <c r="A493" s="7">
        <v>44322</v>
      </c>
      <c r="B493" s="8">
        <v>79.667646405403659</v>
      </c>
      <c r="E493" s="8">
        <v>82.1</v>
      </c>
      <c r="F493" s="10">
        <f>AVERAGE($E$368:E493)</f>
        <v>82.191269841269829</v>
      </c>
      <c r="I493" s="11">
        <v>2380</v>
      </c>
      <c r="J493" s="11">
        <v>-1900</v>
      </c>
      <c r="K493" s="11">
        <v>-637</v>
      </c>
      <c r="L493" s="11">
        <f t="shared" si="8"/>
        <v>-2537</v>
      </c>
      <c r="M493" s="11">
        <f t="shared" si="9"/>
        <v>-157</v>
      </c>
    </row>
    <row r="494" spans="1:13">
      <c r="A494" s="7">
        <v>44323</v>
      </c>
      <c r="B494" s="8">
        <v>79.601530702924322</v>
      </c>
      <c r="E494" s="8">
        <v>82</v>
      </c>
      <c r="F494" s="10">
        <f>AVERAGE($E$368:E494)</f>
        <v>82.189763779527553</v>
      </c>
      <c r="I494" s="11">
        <v>2380</v>
      </c>
      <c r="J494" s="11">
        <v>-1900</v>
      </c>
      <c r="K494" s="11">
        <v>-697</v>
      </c>
      <c r="L494" s="11">
        <f t="shared" si="8"/>
        <v>-2597</v>
      </c>
      <c r="M494" s="11">
        <f t="shared" si="9"/>
        <v>-217</v>
      </c>
    </row>
    <row r="495" spans="1:13">
      <c r="A495" s="7">
        <v>44324</v>
      </c>
      <c r="B495" s="8">
        <v>79.535415000444985</v>
      </c>
      <c r="E495" s="8">
        <v>82.4</v>
      </c>
      <c r="F495" s="10">
        <f>AVERAGE($E$368:E495)</f>
        <v>82.191406249999986</v>
      </c>
      <c r="I495" s="11">
        <v>3290</v>
      </c>
      <c r="J495" s="11">
        <v>-1900</v>
      </c>
      <c r="K495" s="11">
        <v>-755</v>
      </c>
      <c r="L495" s="11">
        <f t="shared" si="8"/>
        <v>-2655</v>
      </c>
      <c r="M495" s="11">
        <f t="shared" si="9"/>
        <v>635</v>
      </c>
    </row>
    <row r="496" spans="1:13">
      <c r="A496" s="7">
        <v>44325</v>
      </c>
      <c r="B496" s="8">
        <v>79.469299297965648</v>
      </c>
      <c r="E496" s="8">
        <v>83.4</v>
      </c>
      <c r="F496" s="10">
        <f>AVERAGE($E$368:E496)</f>
        <v>82.200775193798435</v>
      </c>
      <c r="I496" s="11">
        <v>3027</v>
      </c>
      <c r="J496" s="11">
        <v>-1900</v>
      </c>
      <c r="K496" s="11">
        <v>-634</v>
      </c>
      <c r="L496" s="11">
        <f t="shared" si="8"/>
        <v>-2534</v>
      </c>
      <c r="M496" s="11">
        <f t="shared" si="9"/>
        <v>493</v>
      </c>
    </row>
    <row r="497" spans="1:13">
      <c r="A497" s="7">
        <v>44326</v>
      </c>
      <c r="B497" s="8">
        <v>79.403183595486311</v>
      </c>
      <c r="E497" s="8">
        <v>84.9</v>
      </c>
      <c r="F497" s="10">
        <f>AVERAGE($E$368:E497)</f>
        <v>82.221538461538444</v>
      </c>
      <c r="I497" s="11">
        <v>1731</v>
      </c>
      <c r="J497" s="11">
        <v>-1900</v>
      </c>
      <c r="K497" s="11">
        <v>-749</v>
      </c>
      <c r="L497" s="11">
        <f t="shared" si="8"/>
        <v>-2649</v>
      </c>
      <c r="M497" s="11">
        <f t="shared" si="9"/>
        <v>-918</v>
      </c>
    </row>
    <row r="498" spans="1:13">
      <c r="A498" s="7">
        <v>44327</v>
      </c>
      <c r="B498" s="8">
        <v>79.337067893006974</v>
      </c>
      <c r="E498" s="8">
        <v>83</v>
      </c>
      <c r="F498" s="10">
        <f>AVERAGE($E$368:E498)</f>
        <v>82.227480916030515</v>
      </c>
      <c r="I498" s="11">
        <v>1803</v>
      </c>
      <c r="J498" s="11">
        <v>-1900</v>
      </c>
      <c r="K498" s="11">
        <v>-943</v>
      </c>
      <c r="L498" s="11">
        <f t="shared" si="8"/>
        <v>-2843</v>
      </c>
      <c r="M498" s="11">
        <f t="shared" si="9"/>
        <v>-1040</v>
      </c>
    </row>
    <row r="499" spans="1:13">
      <c r="A499" s="7">
        <v>44328</v>
      </c>
      <c r="B499" s="8">
        <v>79.270952190527638</v>
      </c>
      <c r="E499" s="8">
        <v>82.2</v>
      </c>
      <c r="F499" s="10">
        <f>AVERAGE($E$368:E499)</f>
        <v>82.22727272727272</v>
      </c>
      <c r="I499" s="11">
        <v>1860</v>
      </c>
      <c r="J499" s="11">
        <v>-1900</v>
      </c>
      <c r="K499" s="11">
        <v>-724</v>
      </c>
      <c r="L499" s="11">
        <f t="shared" si="8"/>
        <v>-2624</v>
      </c>
      <c r="M499" s="11">
        <f t="shared" si="9"/>
        <v>-764</v>
      </c>
    </row>
    <row r="500" spans="1:13">
      <c r="A500" s="7">
        <v>44329</v>
      </c>
      <c r="B500" s="8">
        <v>79.204836488048301</v>
      </c>
      <c r="E500" s="8">
        <v>82.2</v>
      </c>
      <c r="F500" s="10">
        <f>AVERAGE($E$368:E500)</f>
        <v>82.227067669172925</v>
      </c>
      <c r="I500" s="11">
        <v>1868</v>
      </c>
      <c r="J500" s="11">
        <v>-1900</v>
      </c>
      <c r="K500" s="11">
        <v>-637</v>
      </c>
      <c r="L500" s="11">
        <f t="shared" si="8"/>
        <v>-2537</v>
      </c>
      <c r="M500" s="11">
        <f t="shared" si="9"/>
        <v>-669</v>
      </c>
    </row>
    <row r="501" spans="1:13">
      <c r="A501" s="7">
        <v>44330</v>
      </c>
      <c r="B501" s="8">
        <v>79.138720785568964</v>
      </c>
      <c r="E501" s="8">
        <v>81.900000000000006</v>
      </c>
      <c r="F501" s="10">
        <f>AVERAGE($E$368:E501)</f>
        <v>82.224626865671624</v>
      </c>
      <c r="I501" s="11">
        <v>2208</v>
      </c>
      <c r="J501" s="11">
        <v>-1900</v>
      </c>
      <c r="K501" s="11">
        <v>-712</v>
      </c>
      <c r="L501" s="11">
        <f t="shared" si="8"/>
        <v>-2612</v>
      </c>
      <c r="M501" s="11">
        <f t="shared" si="9"/>
        <v>-404</v>
      </c>
    </row>
    <row r="502" spans="1:13">
      <c r="A502" s="7">
        <v>44331</v>
      </c>
      <c r="B502" s="8">
        <v>79.072605083089627</v>
      </c>
      <c r="E502" s="8">
        <v>81.5</v>
      </c>
      <c r="F502" s="10">
        <f>AVERAGE($E$368:E502)</f>
        <v>82.219259259259246</v>
      </c>
      <c r="I502" s="11">
        <v>2577</v>
      </c>
      <c r="J502" s="11">
        <v>-1900</v>
      </c>
      <c r="K502" s="11">
        <v>-691</v>
      </c>
      <c r="L502" s="11">
        <f t="shared" si="8"/>
        <v>-2591</v>
      </c>
      <c r="M502" s="11">
        <f t="shared" si="9"/>
        <v>-14</v>
      </c>
    </row>
    <row r="503" spans="1:13">
      <c r="A503" s="7">
        <v>44332</v>
      </c>
      <c r="B503" s="8">
        <v>79.00648938061029</v>
      </c>
      <c r="E503" s="8">
        <v>82.2</v>
      </c>
      <c r="F503" s="10">
        <f>AVERAGE($E$368:E503)</f>
        <v>82.219117647058823</v>
      </c>
      <c r="I503" s="11">
        <v>2122</v>
      </c>
      <c r="J503" s="11">
        <v>-1900</v>
      </c>
      <c r="K503" s="11">
        <v>-837</v>
      </c>
      <c r="L503" s="11">
        <f t="shared" si="8"/>
        <v>-2737</v>
      </c>
      <c r="M503" s="11">
        <f t="shared" si="9"/>
        <v>-615</v>
      </c>
    </row>
    <row r="504" spans="1:13">
      <c r="A504" s="7">
        <v>44333</v>
      </c>
      <c r="B504" s="8">
        <v>78.940373678130953</v>
      </c>
      <c r="E504" s="8">
        <v>83.2</v>
      </c>
      <c r="F504" s="10">
        <f>AVERAGE($E$368:E504)</f>
        <v>82.226277372262771</v>
      </c>
      <c r="I504" s="11">
        <v>1680</v>
      </c>
      <c r="J504" s="11">
        <v>-1900</v>
      </c>
      <c r="K504" s="11">
        <v>-687</v>
      </c>
      <c r="L504" s="11">
        <f t="shared" si="8"/>
        <v>-2587</v>
      </c>
      <c r="M504" s="11">
        <f t="shared" si="9"/>
        <v>-907</v>
      </c>
    </row>
    <row r="505" spans="1:13">
      <c r="A505" s="7">
        <v>44334</v>
      </c>
      <c r="B505" s="8">
        <v>78.874257975651616</v>
      </c>
      <c r="E505" s="8">
        <v>81.900000000000006</v>
      </c>
      <c r="F505" s="10">
        <f>AVERAGE($E$368:E505)</f>
        <v>82.223913043478262</v>
      </c>
      <c r="I505" s="11">
        <v>1893</v>
      </c>
      <c r="J505" s="11">
        <v>-1900</v>
      </c>
      <c r="K505" s="11">
        <v>-722</v>
      </c>
      <c r="L505" s="11">
        <f t="shared" si="8"/>
        <v>-2622</v>
      </c>
      <c r="M505" s="11">
        <f t="shared" si="9"/>
        <v>-729</v>
      </c>
    </row>
    <row r="506" spans="1:13">
      <c r="A506" s="7">
        <v>44335</v>
      </c>
      <c r="B506" s="8">
        <v>78.80814227317228</v>
      </c>
      <c r="E506" s="8">
        <v>82.1</v>
      </c>
      <c r="F506" s="10">
        <f>AVERAGE($E$368:E506)</f>
        <v>82.223021582733807</v>
      </c>
      <c r="I506" s="11">
        <v>2157</v>
      </c>
      <c r="J506" s="11">
        <v>-1900</v>
      </c>
      <c r="K506" s="11">
        <v>-794</v>
      </c>
      <c r="L506" s="11">
        <f t="shared" si="8"/>
        <v>-2694</v>
      </c>
      <c r="M506" s="11">
        <f t="shared" si="9"/>
        <v>-537</v>
      </c>
    </row>
    <row r="507" spans="1:13">
      <c r="A507" s="7">
        <v>44336</v>
      </c>
      <c r="B507" s="8">
        <v>78.742026570692943</v>
      </c>
      <c r="E507" s="8">
        <v>82</v>
      </c>
      <c r="F507" s="10">
        <f>AVERAGE($E$368:E507)</f>
        <v>82.221428571428575</v>
      </c>
      <c r="I507" s="11">
        <v>1800</v>
      </c>
      <c r="J507" s="11">
        <v>-1900</v>
      </c>
      <c r="K507" s="11">
        <v>-611</v>
      </c>
      <c r="L507" s="11">
        <f t="shared" si="8"/>
        <v>-2511</v>
      </c>
      <c r="M507" s="11">
        <f t="shared" si="9"/>
        <v>-711</v>
      </c>
    </row>
    <row r="508" spans="1:13">
      <c r="A508" s="7">
        <v>44337</v>
      </c>
      <c r="B508" s="8">
        <v>78.675910868213606</v>
      </c>
      <c r="E508" s="8">
        <v>81.7</v>
      </c>
      <c r="F508" s="10">
        <f>AVERAGE($E$368:E508)</f>
        <v>82.21773049645391</v>
      </c>
      <c r="I508" s="11">
        <v>1800</v>
      </c>
      <c r="J508" s="11">
        <v>-1900</v>
      </c>
      <c r="K508" s="11">
        <v>-690</v>
      </c>
      <c r="L508" s="11">
        <f t="shared" ref="L508:L538" si="10">SUM(J508:K508)</f>
        <v>-2590</v>
      </c>
      <c r="M508" s="11">
        <f t="shared" ref="M508:M538" si="11">I508+L508</f>
        <v>-790</v>
      </c>
    </row>
    <row r="509" spans="1:13">
      <c r="A509" s="7">
        <v>44338</v>
      </c>
      <c r="B509" s="8">
        <v>78.609795165734269</v>
      </c>
      <c r="E509" s="8">
        <v>83.2</v>
      </c>
      <c r="F509" s="10">
        <f>AVERAGE($E$368:E509)</f>
        <v>82.224647887323954</v>
      </c>
      <c r="I509" s="11">
        <v>3000</v>
      </c>
      <c r="J509" s="11">
        <v>-1900</v>
      </c>
      <c r="K509" s="11">
        <v>-831</v>
      </c>
      <c r="L509" s="11">
        <f t="shared" si="10"/>
        <v>-2731</v>
      </c>
      <c r="M509" s="11">
        <f t="shared" si="11"/>
        <v>269</v>
      </c>
    </row>
    <row r="510" spans="1:13">
      <c r="A510" s="7">
        <v>44339</v>
      </c>
      <c r="B510" s="8">
        <v>78.543679463254932</v>
      </c>
      <c r="E510" s="8">
        <v>83.2</v>
      </c>
      <c r="F510" s="10">
        <f>AVERAGE($E$368:E510)</f>
        <v>82.231468531468551</v>
      </c>
      <c r="I510" s="11">
        <v>3000</v>
      </c>
      <c r="J510" s="11">
        <v>-1900</v>
      </c>
      <c r="K510" s="11">
        <v>-1220</v>
      </c>
      <c r="L510" s="11">
        <f t="shared" si="10"/>
        <v>-3120</v>
      </c>
      <c r="M510" s="11">
        <f t="shared" si="11"/>
        <v>-120</v>
      </c>
    </row>
    <row r="511" spans="1:13">
      <c r="A511" s="7">
        <v>44340</v>
      </c>
      <c r="B511" s="8">
        <v>78.477563760775595</v>
      </c>
      <c r="E511" s="8">
        <v>83.1</v>
      </c>
      <c r="F511" s="10">
        <f>AVERAGE($E$368:E511)</f>
        <v>82.237500000000011</v>
      </c>
      <c r="I511" s="11">
        <v>3000</v>
      </c>
      <c r="J511" s="11">
        <v>-1900</v>
      </c>
      <c r="K511" s="11">
        <v>-1108</v>
      </c>
      <c r="L511" s="11">
        <f t="shared" si="10"/>
        <v>-3008</v>
      </c>
      <c r="M511" s="11">
        <f t="shared" si="11"/>
        <v>-8</v>
      </c>
    </row>
    <row r="512" spans="1:13">
      <c r="A512" s="7">
        <v>44341</v>
      </c>
      <c r="B512" s="8">
        <v>78.411448058296259</v>
      </c>
      <c r="E512" s="8">
        <v>83.9</v>
      </c>
      <c r="F512" s="10">
        <f>AVERAGE($E$368:E512)</f>
        <v>82.248965517241388</v>
      </c>
      <c r="I512" s="11">
        <v>3000</v>
      </c>
      <c r="J512" s="11">
        <v>-1900</v>
      </c>
      <c r="K512" s="11">
        <v>-758</v>
      </c>
      <c r="L512" s="11">
        <f t="shared" si="10"/>
        <v>-2658</v>
      </c>
      <c r="M512" s="11">
        <f t="shared" si="11"/>
        <v>342</v>
      </c>
    </row>
    <row r="513" spans="1:13">
      <c r="A513" s="7">
        <v>44342</v>
      </c>
      <c r="B513" s="8">
        <v>78.345332355816922</v>
      </c>
      <c r="E513" s="8">
        <v>84.5</v>
      </c>
      <c r="F513" s="10">
        <f>AVERAGE($E$368:E513)</f>
        <v>82.264383561643854</v>
      </c>
      <c r="I513" s="11">
        <v>3000</v>
      </c>
      <c r="J513" s="11">
        <v>-1900</v>
      </c>
      <c r="K513" s="11">
        <v>-1268</v>
      </c>
      <c r="L513" s="11">
        <f t="shared" si="10"/>
        <v>-3168</v>
      </c>
      <c r="M513" s="11">
        <f t="shared" si="11"/>
        <v>-168</v>
      </c>
    </row>
    <row r="514" spans="1:13">
      <c r="A514" s="7">
        <v>44343</v>
      </c>
      <c r="B514" s="8">
        <v>78.279216653337585</v>
      </c>
      <c r="E514" s="8">
        <v>84.6</v>
      </c>
      <c r="F514" s="10">
        <f>AVERAGE($E$368:E514)</f>
        <v>82.280272108843562</v>
      </c>
      <c r="I514" s="11">
        <v>3000</v>
      </c>
      <c r="J514" s="11">
        <v>-1900</v>
      </c>
      <c r="K514" s="11">
        <v>-1344</v>
      </c>
      <c r="L514" s="11">
        <f t="shared" si="10"/>
        <v>-3244</v>
      </c>
      <c r="M514" s="11">
        <f t="shared" si="11"/>
        <v>-244</v>
      </c>
    </row>
    <row r="515" spans="1:13">
      <c r="A515" s="7">
        <v>44344</v>
      </c>
      <c r="B515" s="8">
        <v>78.213100950858248</v>
      </c>
      <c r="E515" s="8">
        <v>84.7</v>
      </c>
      <c r="F515" s="10">
        <f>AVERAGE($E$368:E515)</f>
        <v>82.29662162162164</v>
      </c>
      <c r="I515" s="11">
        <v>3000</v>
      </c>
      <c r="J515" s="11">
        <v>-1900</v>
      </c>
      <c r="K515" s="11">
        <v>-777</v>
      </c>
      <c r="L515" s="11">
        <f t="shared" si="10"/>
        <v>-2677</v>
      </c>
      <c r="M515" s="11">
        <f t="shared" si="11"/>
        <v>323</v>
      </c>
    </row>
    <row r="516" spans="1:13">
      <c r="A516" s="7">
        <v>44345</v>
      </c>
      <c r="B516" s="8">
        <v>78.146985248378911</v>
      </c>
      <c r="E516" s="8">
        <v>85.3</v>
      </c>
      <c r="F516" s="10">
        <f>AVERAGE($E$368:E516)</f>
        <v>82.316778523489944</v>
      </c>
      <c r="I516" s="11">
        <v>3000</v>
      </c>
      <c r="J516" s="11">
        <v>-1900</v>
      </c>
      <c r="K516" s="11">
        <v>-916</v>
      </c>
      <c r="L516" s="11">
        <f t="shared" si="10"/>
        <v>-2816</v>
      </c>
      <c r="M516" s="11">
        <f t="shared" si="11"/>
        <v>184</v>
      </c>
    </row>
    <row r="517" spans="1:13">
      <c r="A517" s="7">
        <v>44346</v>
      </c>
      <c r="B517" s="8">
        <v>78.080869545899574</v>
      </c>
      <c r="E517" s="8">
        <v>85.1</v>
      </c>
      <c r="F517" s="10">
        <f>AVERAGE($E$368:E517)</f>
        <v>82.335333333333352</v>
      </c>
      <c r="I517" s="11">
        <v>1328</v>
      </c>
      <c r="J517" s="11">
        <v>-1900</v>
      </c>
      <c r="K517" s="11">
        <v>-1176</v>
      </c>
      <c r="L517" s="11">
        <f t="shared" si="10"/>
        <v>-3076</v>
      </c>
      <c r="M517" s="11">
        <f t="shared" si="11"/>
        <v>-1748</v>
      </c>
    </row>
    <row r="518" spans="1:13">
      <c r="A518" s="7">
        <v>44347</v>
      </c>
      <c r="B518" s="8">
        <v>78.014753843420237</v>
      </c>
      <c r="E518" s="8">
        <v>84.1</v>
      </c>
      <c r="F518" s="10">
        <f>AVERAGE($E$368:E518)</f>
        <v>82.34701986754969</v>
      </c>
      <c r="I518" s="11">
        <v>1729</v>
      </c>
      <c r="J518" s="11">
        <v>-1900</v>
      </c>
      <c r="K518" s="11">
        <v>-621</v>
      </c>
      <c r="L518" s="11">
        <f t="shared" si="10"/>
        <v>-2521</v>
      </c>
      <c r="M518" s="11">
        <f t="shared" si="11"/>
        <v>-792</v>
      </c>
    </row>
    <row r="519" spans="1:13">
      <c r="A519" s="7">
        <v>44348</v>
      </c>
      <c r="B519" s="8">
        <v>79.948638140940901</v>
      </c>
      <c r="E519" s="8">
        <v>83.4</v>
      </c>
      <c r="F519" s="10">
        <f>AVERAGE($E$368:E519)</f>
        <v>82.353947368421075</v>
      </c>
      <c r="I519" s="11">
        <v>1706</v>
      </c>
      <c r="J519" s="11">
        <v>-1900</v>
      </c>
      <c r="K519" s="11">
        <v>-822</v>
      </c>
    </row>
    <row r="520" spans="1:13">
      <c r="A520" s="7">
        <v>44349</v>
      </c>
      <c r="B520" s="8">
        <v>79.882522438461564</v>
      </c>
      <c r="E520" s="8">
        <v>82.6</v>
      </c>
      <c r="F520" s="10">
        <f>AVERAGE($E$368:E520)</f>
        <v>82.355555555555583</v>
      </c>
      <c r="I520" s="11">
        <v>1570</v>
      </c>
      <c r="J520" s="11">
        <v>-1900</v>
      </c>
      <c r="K520" s="11">
        <v>-786</v>
      </c>
    </row>
    <row r="521" spans="1:13">
      <c r="A521" s="7">
        <v>44350</v>
      </c>
      <c r="B521" s="8">
        <v>79.816406735982227</v>
      </c>
      <c r="E521" s="8">
        <v>82.5</v>
      </c>
      <c r="F521" s="10">
        <f>AVERAGE($E$368:E521)</f>
        <v>82.356493506493521</v>
      </c>
      <c r="I521" s="11">
        <v>2008</v>
      </c>
      <c r="J521" s="11">
        <v>-1900</v>
      </c>
      <c r="K521" s="11">
        <v>-989</v>
      </c>
    </row>
    <row r="522" spans="1:13">
      <c r="A522" s="7">
        <v>44351</v>
      </c>
      <c r="B522" s="8">
        <v>79.75029103350289</v>
      </c>
      <c r="E522" s="8">
        <v>83.4</v>
      </c>
      <c r="F522" s="10">
        <f>AVERAGE($E$368:E522)</f>
        <v>82.363225806451638</v>
      </c>
      <c r="I522" s="11">
        <v>1799</v>
      </c>
      <c r="J522" s="11">
        <v>-1900</v>
      </c>
      <c r="K522" s="11">
        <v>-1241</v>
      </c>
    </row>
    <row r="523" spans="1:13">
      <c r="A523" s="7">
        <v>44352</v>
      </c>
      <c r="B523" s="8">
        <v>79.684175331023553</v>
      </c>
      <c r="E523" s="8">
        <v>82.4</v>
      </c>
      <c r="F523" s="10">
        <f>AVERAGE($E$368:E523)</f>
        <v>82.36346153846155</v>
      </c>
      <c r="I523" s="11">
        <v>2595</v>
      </c>
      <c r="J523" s="11">
        <v>-1900</v>
      </c>
      <c r="K523" s="11">
        <v>-1057</v>
      </c>
    </row>
    <row r="524" spans="1:13">
      <c r="A524" s="7">
        <v>44353</v>
      </c>
      <c r="B524" s="8">
        <v>79.618059628544216</v>
      </c>
      <c r="E524" s="8">
        <v>83.1</v>
      </c>
      <c r="F524" s="10">
        <f>AVERAGE($E$368:E524)</f>
        <v>82.368152866242056</v>
      </c>
      <c r="I524" s="11">
        <v>2432</v>
      </c>
      <c r="J524" s="11">
        <v>-1900</v>
      </c>
      <c r="K524" s="11">
        <v>-841</v>
      </c>
    </row>
    <row r="525" spans="1:13">
      <c r="A525" s="7">
        <v>44354</v>
      </c>
      <c r="B525" s="8">
        <v>79.55194392606488</v>
      </c>
      <c r="E525" s="8">
        <v>84.3</v>
      </c>
      <c r="F525" s="10">
        <f>AVERAGE($E$368:E525)</f>
        <v>82.380379746835459</v>
      </c>
      <c r="I525" s="11">
        <v>1775</v>
      </c>
      <c r="J525" s="11">
        <v>-1900</v>
      </c>
      <c r="K525" s="11">
        <v>-724</v>
      </c>
    </row>
    <row r="526" spans="1:13">
      <c r="A526" s="7">
        <v>44355</v>
      </c>
      <c r="B526" s="8">
        <v>79.485828223585543</v>
      </c>
      <c r="E526" s="8">
        <v>83.9</v>
      </c>
      <c r="F526" s="10">
        <f>AVERAGE($E$368:E526)</f>
        <v>82.389937106918254</v>
      </c>
      <c r="I526" s="11">
        <v>2082</v>
      </c>
      <c r="J526" s="11">
        <v>-1900</v>
      </c>
      <c r="K526" s="11">
        <v>-1377</v>
      </c>
    </row>
    <row r="527" spans="1:13">
      <c r="A527" s="7">
        <v>44356</v>
      </c>
      <c r="B527" s="8">
        <v>79.419712521106206</v>
      </c>
      <c r="E527" s="8">
        <v>81.599999999999994</v>
      </c>
      <c r="F527" s="10">
        <f>AVERAGE($E$368:E527)</f>
        <v>82.385000000000019</v>
      </c>
      <c r="I527" s="11">
        <v>2350</v>
      </c>
      <c r="J527" s="11">
        <v>-1900</v>
      </c>
      <c r="K527" s="11">
        <v>-581</v>
      </c>
    </row>
    <row r="528" spans="1:13">
      <c r="A528" s="7">
        <v>44357</v>
      </c>
      <c r="B528" s="8">
        <v>79.353596818626869</v>
      </c>
      <c r="E528" s="8">
        <v>83</v>
      </c>
      <c r="F528" s="10">
        <f>AVERAGE($E$368:E528)</f>
        <v>82.388819875776406</v>
      </c>
      <c r="I528" s="11">
        <v>2531</v>
      </c>
      <c r="J528" s="11">
        <v>-1900</v>
      </c>
      <c r="K528" s="11">
        <v>-707</v>
      </c>
    </row>
    <row r="529" spans="1:11">
      <c r="A529" s="7">
        <v>44358</v>
      </c>
      <c r="B529" s="8">
        <v>79.287481116147532</v>
      </c>
      <c r="E529" s="8">
        <v>82.7</v>
      </c>
      <c r="F529" s="10">
        <f>AVERAGE($E$368:E529)</f>
        <v>82.390740740740753</v>
      </c>
      <c r="I529" s="11">
        <v>2282</v>
      </c>
      <c r="J529" s="11">
        <v>-1900</v>
      </c>
      <c r="K529" s="11">
        <v>-606</v>
      </c>
    </row>
    <row r="530" spans="1:11">
      <c r="A530" s="7">
        <v>44359</v>
      </c>
      <c r="B530" s="8">
        <v>79.221365413668195</v>
      </c>
      <c r="E530" s="8">
        <v>82.5</v>
      </c>
      <c r="F530" s="10">
        <f>AVERAGE($E$368:E530)</f>
        <v>82.39141104294481</v>
      </c>
      <c r="I530" s="11">
        <v>2087</v>
      </c>
      <c r="J530" s="11">
        <v>-1900</v>
      </c>
      <c r="K530" s="11">
        <v>-898</v>
      </c>
    </row>
    <row r="531" spans="1:11">
      <c r="A531" s="7">
        <v>44360</v>
      </c>
      <c r="B531" s="8">
        <v>79.155249711188858</v>
      </c>
      <c r="E531" s="8">
        <v>82.9</v>
      </c>
      <c r="F531" s="10">
        <f>AVERAGE($E$368:E531)</f>
        <v>82.394512195121962</v>
      </c>
      <c r="I531" s="11">
        <v>2340</v>
      </c>
      <c r="J531" s="11">
        <v>-1900</v>
      </c>
      <c r="K531" s="11">
        <v>-846</v>
      </c>
    </row>
    <row r="532" spans="1:11">
      <c r="A532" s="7">
        <v>44361</v>
      </c>
      <c r="B532" s="8">
        <v>79.089134008709522</v>
      </c>
      <c r="E532" s="8">
        <v>82.7</v>
      </c>
      <c r="F532" s="10">
        <f>AVERAGE($E$368:E532)</f>
        <v>82.39636363636366</v>
      </c>
      <c r="I532" s="11">
        <v>2288</v>
      </c>
      <c r="J532" s="11">
        <v>-1900</v>
      </c>
      <c r="K532" s="11">
        <v>-682</v>
      </c>
    </row>
    <row r="533" spans="1:11">
      <c r="A533" s="7">
        <v>44362</v>
      </c>
      <c r="B533" s="8">
        <v>79.023018306230185</v>
      </c>
      <c r="E533" s="8">
        <v>82.7</v>
      </c>
      <c r="F533" s="10">
        <f>AVERAGE($E$368:E533)</f>
        <v>82.398192771084368</v>
      </c>
      <c r="I533" s="11">
        <v>1891</v>
      </c>
      <c r="J533" s="11">
        <v>-1900</v>
      </c>
      <c r="K533" s="11">
        <v>-1418</v>
      </c>
    </row>
    <row r="534" spans="1:11">
      <c r="A534" s="7">
        <v>44363</v>
      </c>
      <c r="B534" s="8">
        <v>78.956902603750848</v>
      </c>
      <c r="E534" s="8">
        <v>82.1</v>
      </c>
      <c r="F534" s="10">
        <f>AVERAGE($E$368:E534)</f>
        <v>82.396407185628775</v>
      </c>
      <c r="I534" s="11">
        <v>2000</v>
      </c>
      <c r="J534" s="11">
        <v>-1900</v>
      </c>
      <c r="K534" s="11">
        <v>-723</v>
      </c>
    </row>
    <row r="535" spans="1:11">
      <c r="A535" s="7">
        <v>44364</v>
      </c>
      <c r="B535" s="8">
        <v>78.890786901271511</v>
      </c>
      <c r="E535" s="8">
        <v>82.5</v>
      </c>
      <c r="F535" s="10">
        <f>AVERAGE($E$368:E535)</f>
        <v>82.39702380952383</v>
      </c>
      <c r="I535" s="11">
        <v>2760</v>
      </c>
      <c r="J535" s="11">
        <v>-1900</v>
      </c>
      <c r="K535" s="11">
        <v>-906</v>
      </c>
    </row>
    <row r="536" spans="1:11">
      <c r="A536" s="7">
        <v>44365</v>
      </c>
      <c r="B536" s="8">
        <v>78.824671198792174</v>
      </c>
      <c r="E536" s="8">
        <v>82.1</v>
      </c>
      <c r="F536" s="10">
        <f>AVERAGE($E$368:E536)</f>
        <v>82.395266272189374</v>
      </c>
      <c r="I536" s="11">
        <v>1861</v>
      </c>
      <c r="J536" s="11">
        <v>-1900</v>
      </c>
      <c r="K536" s="11">
        <v>-687</v>
      </c>
    </row>
    <row r="537" spans="1:11">
      <c r="A537" s="7">
        <v>44366</v>
      </c>
      <c r="B537" s="8">
        <v>78.758555496312837</v>
      </c>
      <c r="E537" s="8">
        <v>81.8</v>
      </c>
      <c r="F537" s="10">
        <f>AVERAGE($E$368:E537)</f>
        <v>82.39176470588238</v>
      </c>
      <c r="I537" s="11">
        <v>2901</v>
      </c>
      <c r="J537" s="11">
        <v>-1900</v>
      </c>
      <c r="K537" s="11">
        <v>-1061</v>
      </c>
    </row>
    <row r="538" spans="1:11">
      <c r="A538" s="7">
        <v>44367</v>
      </c>
      <c r="B538" s="8">
        <v>78.692439793833501</v>
      </c>
      <c r="E538" s="8">
        <v>82.8</v>
      </c>
      <c r="F538" s="10">
        <f>AVERAGE($E$368:E538)</f>
        <v>82.394152046783645</v>
      </c>
      <c r="I538" s="11">
        <v>2000</v>
      </c>
      <c r="J538" s="11">
        <v>-1900</v>
      </c>
      <c r="K538" s="11">
        <v>-730</v>
      </c>
    </row>
    <row r="539" spans="1:11">
      <c r="A539" s="7">
        <v>44368</v>
      </c>
      <c r="B539" s="8">
        <v>78.626324091354164</v>
      </c>
      <c r="E539" s="8">
        <v>83.8</v>
      </c>
      <c r="F539" s="10">
        <f>AVERAGE($E$368:E539)</f>
        <v>82.40232558139536</v>
      </c>
      <c r="I539" s="11">
        <v>1837</v>
      </c>
      <c r="J539" s="11">
        <v>-1900</v>
      </c>
      <c r="K539" s="11">
        <v>-757</v>
      </c>
    </row>
    <row r="540" spans="1:11">
      <c r="A540" s="7">
        <v>44369</v>
      </c>
      <c r="B540" s="8">
        <v>78.560208388874827</v>
      </c>
      <c r="E540" s="8">
        <v>82.8</v>
      </c>
      <c r="F540" s="10">
        <f>AVERAGE($E$368:E540)</f>
        <v>82.404624277456662</v>
      </c>
      <c r="I540" s="11">
        <v>2386</v>
      </c>
      <c r="J540" s="11">
        <v>-1900</v>
      </c>
      <c r="K540" s="11">
        <v>-777</v>
      </c>
    </row>
    <row r="541" spans="1:11">
      <c r="A541" s="7">
        <v>44370</v>
      </c>
      <c r="B541" s="8">
        <v>78.49409268639549</v>
      </c>
      <c r="E541" s="8">
        <v>82.9</v>
      </c>
      <c r="F541" s="10">
        <f>AVERAGE($E$368:E541)</f>
        <v>82.407471264367828</v>
      </c>
      <c r="I541" s="11">
        <v>2644</v>
      </c>
      <c r="J541" s="11">
        <v>-1900</v>
      </c>
      <c r="K541" s="11">
        <v>-1282</v>
      </c>
    </row>
    <row r="542" spans="1:11">
      <c r="A542" s="7">
        <v>44371</v>
      </c>
      <c r="B542" s="8">
        <v>78.427976983916153</v>
      </c>
      <c r="E542" s="8">
        <v>82.7</v>
      </c>
      <c r="F542" s="10">
        <f>AVERAGE($E$368:E542)</f>
        <v>82.409142857142868</v>
      </c>
      <c r="I542" s="11">
        <v>2001</v>
      </c>
      <c r="J542" s="11">
        <v>-1900</v>
      </c>
      <c r="K542" s="11">
        <v>-614</v>
      </c>
    </row>
    <row r="543" spans="1:11">
      <c r="A543" s="7">
        <v>44372</v>
      </c>
      <c r="B543" s="8">
        <v>78.361861281436816</v>
      </c>
      <c r="E543" s="8">
        <v>82.8</v>
      </c>
      <c r="F543" s="10">
        <f>AVERAGE($E$368:E543)</f>
        <v>82.411363636363646</v>
      </c>
      <c r="I543" s="11">
        <v>2000</v>
      </c>
      <c r="J543" s="11">
        <v>-1900</v>
      </c>
      <c r="K543" s="11">
        <v>-535</v>
      </c>
    </row>
    <row r="544" spans="1:11">
      <c r="A544" s="7">
        <v>44373</v>
      </c>
      <c r="B544" s="8">
        <v>78.295745578957479</v>
      </c>
      <c r="E544" s="8">
        <v>82.9</v>
      </c>
      <c r="F544" s="10">
        <f>AVERAGE($E$368:E544)</f>
        <v>82.414124293785321</v>
      </c>
      <c r="I544" s="11">
        <v>2000</v>
      </c>
      <c r="J544" s="11">
        <v>-1900</v>
      </c>
      <c r="K544" s="11">
        <v>-582</v>
      </c>
    </row>
    <row r="545" spans="1:11">
      <c r="A545" s="7">
        <v>44374</v>
      </c>
      <c r="B545" s="8">
        <v>78.229629876478143</v>
      </c>
      <c r="E545" s="8">
        <f>E544+1.4</f>
        <v>84.300000000000011</v>
      </c>
      <c r="F545" s="10">
        <f>AVERAGE($E$368:E545)</f>
        <v>82.4247191011236</v>
      </c>
      <c r="I545" s="11">
        <v>2000</v>
      </c>
      <c r="J545" s="11">
        <v>-1900</v>
      </c>
      <c r="K545" s="11">
        <v>-349</v>
      </c>
    </row>
    <row r="546" spans="1:11">
      <c r="A546" s="7">
        <v>44375</v>
      </c>
      <c r="B546" s="8">
        <v>78.163514173998806</v>
      </c>
      <c r="E546" s="8">
        <v>85.6</v>
      </c>
      <c r="F546" s="10">
        <f>AVERAGE($E$368:E546)</f>
        <v>82.442458100558667</v>
      </c>
      <c r="I546" s="11">
        <v>2000</v>
      </c>
      <c r="J546" s="11">
        <v>-1900</v>
      </c>
      <c r="K546" s="11">
        <v>-670</v>
      </c>
    </row>
    <row r="547" spans="1:11">
      <c r="A547" s="7">
        <v>44376</v>
      </c>
      <c r="B547" s="8">
        <v>78.097398471519469</v>
      </c>
      <c r="E547" s="8">
        <v>84.3</v>
      </c>
      <c r="F547" s="10">
        <f>AVERAGE($E$368:E547)</f>
        <v>82.452777777777783</v>
      </c>
      <c r="I547" s="11">
        <v>1925</v>
      </c>
      <c r="J547" s="11">
        <v>-1900</v>
      </c>
      <c r="K547" s="11">
        <v>-654</v>
      </c>
    </row>
    <row r="548" spans="1:11">
      <c r="A548" s="7">
        <v>44377</v>
      </c>
      <c r="B548" s="8">
        <v>78.031282769040132</v>
      </c>
      <c r="E548" s="8">
        <v>84.2</v>
      </c>
      <c r="F548" s="10">
        <f>AVERAGE($E$368:E548)</f>
        <v>82.462430939226522</v>
      </c>
      <c r="I548" s="11">
        <v>1937</v>
      </c>
      <c r="J548" s="11">
        <v>-1900</v>
      </c>
      <c r="K548" s="11">
        <v>-674</v>
      </c>
    </row>
    <row r="549" spans="1:11">
      <c r="A549" s="7">
        <v>44378</v>
      </c>
      <c r="B549" s="8">
        <v>79.965167066560795</v>
      </c>
      <c r="E549" s="8">
        <v>83.5</v>
      </c>
      <c r="F549" s="10">
        <f>AVERAGE($E$368:E549)</f>
        <v>82.468131868131877</v>
      </c>
      <c r="I549" s="11">
        <v>2004</v>
      </c>
      <c r="J549" s="11">
        <v>-1900</v>
      </c>
      <c r="K549" s="11">
        <v>-694</v>
      </c>
    </row>
    <row r="550" spans="1:11">
      <c r="A550" s="7">
        <v>44379</v>
      </c>
      <c r="B550" s="8">
        <v>79.899051364081458</v>
      </c>
      <c r="E550" s="8">
        <v>82.8</v>
      </c>
      <c r="F550" s="10">
        <f>AVERAGE($E$368:E550)</f>
        <v>82.469945355191257</v>
      </c>
      <c r="I550" s="11">
        <v>2251</v>
      </c>
      <c r="J550" s="11">
        <v>-1900</v>
      </c>
      <c r="K550" s="11">
        <v>-678</v>
      </c>
    </row>
    <row r="551" spans="1:11">
      <c r="A551" s="7">
        <v>44380</v>
      </c>
      <c r="B551" s="8">
        <v>79.832935661602122</v>
      </c>
      <c r="E551" s="8">
        <v>82.5</v>
      </c>
      <c r="F551" s="10">
        <f>AVERAGE($E$368:E551)</f>
        <v>82.470108695652172</v>
      </c>
      <c r="J551" s="11">
        <v>-1900</v>
      </c>
      <c r="K551" s="11">
        <v>-1046</v>
      </c>
    </row>
    <row r="552" spans="1:11">
      <c r="A552" s="7">
        <v>44381</v>
      </c>
      <c r="B552" s="8">
        <v>79.766819959122785</v>
      </c>
      <c r="E552" s="8">
        <v>82.7</v>
      </c>
      <c r="F552" s="10">
        <f>AVERAGE($E$368:E552)</f>
        <v>82.471351351351359</v>
      </c>
      <c r="J552" s="11">
        <v>-1900</v>
      </c>
      <c r="K552" s="11">
        <v>-1312</v>
      </c>
    </row>
    <row r="553" spans="1:11">
      <c r="A553" s="7">
        <v>44382</v>
      </c>
      <c r="B553" s="8">
        <v>79.700704256643448</v>
      </c>
      <c r="E553" s="8">
        <v>82.9</v>
      </c>
      <c r="F553" s="10">
        <f>AVERAGE($E$368:E553)</f>
        <v>82.47365591397849</v>
      </c>
      <c r="J553" s="11">
        <v>-1900</v>
      </c>
      <c r="K553" s="11">
        <v>-703</v>
      </c>
    </row>
    <row r="554" spans="1:11">
      <c r="A554" s="7">
        <v>44383</v>
      </c>
      <c r="B554" s="8">
        <v>79.634588554164111</v>
      </c>
      <c r="E554" s="8">
        <v>84.7</v>
      </c>
      <c r="F554" s="10">
        <f>AVERAGE($E$368:E554)</f>
        <v>82.485561497326202</v>
      </c>
      <c r="J554" s="11">
        <v>-1900</v>
      </c>
      <c r="K554" s="11">
        <v>-639</v>
      </c>
    </row>
    <row r="555" spans="1:11">
      <c r="A555" s="7">
        <v>44384</v>
      </c>
      <c r="B555" s="8">
        <v>79.568472851684774</v>
      </c>
      <c r="E555" s="8">
        <v>83.5</v>
      </c>
      <c r="F555" s="10">
        <f>AVERAGE($E$368:E555)</f>
        <v>82.490957446808522</v>
      </c>
      <c r="J555" s="11">
        <v>-1900</v>
      </c>
      <c r="K555" s="11">
        <v>-1665</v>
      </c>
    </row>
    <row r="556" spans="1:11">
      <c r="A556" s="7">
        <v>44385</v>
      </c>
      <c r="B556" s="8">
        <v>79.502357149205437</v>
      </c>
      <c r="E556" s="8">
        <v>83</v>
      </c>
      <c r="F556" s="10">
        <f>AVERAGE($E$368:E556)</f>
        <v>82.493650793650801</v>
      </c>
      <c r="J556" s="11">
        <v>-1900</v>
      </c>
      <c r="K556" s="11">
        <v>-699</v>
      </c>
    </row>
    <row r="557" spans="1:11">
      <c r="A557" s="7">
        <v>44386</v>
      </c>
      <c r="B557" s="8">
        <v>79.4362414467261</v>
      </c>
      <c r="E557" s="8">
        <v>82.8</v>
      </c>
      <c r="F557" s="10">
        <f>AVERAGE($E$368:E557)</f>
        <v>82.49526315789474</v>
      </c>
      <c r="J557" s="11">
        <v>-1900</v>
      </c>
      <c r="K557" s="11">
        <v>-751</v>
      </c>
    </row>
    <row r="558" spans="1:11">
      <c r="A558" s="7">
        <v>44387</v>
      </c>
      <c r="B558" s="8">
        <v>79.370125744246764</v>
      </c>
      <c r="E558" s="8">
        <v>82.4</v>
      </c>
      <c r="F558" s="10">
        <f>AVERAGE($E$368:E558)</f>
        <v>82.494764397905755</v>
      </c>
      <c r="J558" s="11">
        <v>-1900</v>
      </c>
      <c r="K558" s="11">
        <v>-1835</v>
      </c>
    </row>
    <row r="559" spans="1:11">
      <c r="A559" s="7">
        <v>44388</v>
      </c>
      <c r="B559" s="8">
        <v>79.304010041767427</v>
      </c>
      <c r="E559" s="8">
        <v>81.5</v>
      </c>
      <c r="F559" s="10">
        <f>AVERAGE($E$368:E559)</f>
        <v>82.489583333333329</v>
      </c>
      <c r="J559" s="11">
        <v>-1900</v>
      </c>
      <c r="K559" s="11">
        <v>-606</v>
      </c>
    </row>
    <row r="560" spans="1:11">
      <c r="A560" s="7">
        <v>44389</v>
      </c>
      <c r="B560" s="8">
        <v>79.23789433928809</v>
      </c>
      <c r="E560" s="8">
        <v>83.7</v>
      </c>
      <c r="F560" s="10">
        <f>AVERAGE($E$368:E560)</f>
        <v>82.49585492227979</v>
      </c>
      <c r="J560" s="11">
        <v>-1900</v>
      </c>
      <c r="K560" s="11">
        <v>-796</v>
      </c>
    </row>
    <row r="561" spans="1:11">
      <c r="A561" s="7">
        <v>44390</v>
      </c>
      <c r="B561" s="8">
        <v>79.171778636808753</v>
      </c>
      <c r="E561" s="8">
        <v>83.4</v>
      </c>
      <c r="F561" s="10">
        <f>AVERAGE($E$368:E561)</f>
        <v>82.500515463917523</v>
      </c>
      <c r="J561" s="11">
        <v>-1900</v>
      </c>
      <c r="K561" s="11">
        <v>-664</v>
      </c>
    </row>
    <row r="562" spans="1:11">
      <c r="A562" s="7">
        <v>44391</v>
      </c>
      <c r="B562" s="8">
        <v>79.105662934329416</v>
      </c>
      <c r="E562" s="8">
        <v>83</v>
      </c>
      <c r="F562" s="10">
        <f>AVERAGE($E$368:E562)</f>
        <v>82.503076923076918</v>
      </c>
      <c r="J562" s="11">
        <v>-1900</v>
      </c>
      <c r="K562" s="11">
        <v>-1569</v>
      </c>
    </row>
    <row r="563" spans="1:11">
      <c r="A563" s="7">
        <v>44392</v>
      </c>
      <c r="B563" s="8">
        <v>79.039547231850079</v>
      </c>
      <c r="E563" s="8">
        <v>81.900000000000006</v>
      </c>
      <c r="F563" s="10">
        <f>AVERAGE($E$368:E563)</f>
        <v>82.5</v>
      </c>
      <c r="J563" s="11">
        <v>-1900</v>
      </c>
      <c r="K563" s="11">
        <v>-550</v>
      </c>
    </row>
    <row r="564" spans="1:11">
      <c r="A564" s="7">
        <v>44393</v>
      </c>
      <c r="B564" s="8">
        <v>78.973431529370743</v>
      </c>
      <c r="E564" s="8">
        <v>81.099999999999994</v>
      </c>
      <c r="F564" s="10">
        <f>AVERAGE($E$368:E564)</f>
        <v>82.492893401015223</v>
      </c>
      <c r="J564" s="11">
        <v>-1900</v>
      </c>
      <c r="K564" s="11">
        <v>-1281</v>
      </c>
    </row>
    <row r="565" spans="1:11">
      <c r="A565" s="7">
        <v>44394</v>
      </c>
      <c r="B565" s="8">
        <v>78.907315826891406</v>
      </c>
      <c r="E565" s="8">
        <v>81.2</v>
      </c>
      <c r="F565" s="10">
        <f>AVERAGE($E$368:E565)</f>
        <v>82.486363636363649</v>
      </c>
      <c r="J565" s="11">
        <v>-1900</v>
      </c>
      <c r="K565" s="11">
        <v>-1021</v>
      </c>
    </row>
    <row r="566" spans="1:11">
      <c r="A566" s="7">
        <v>44395</v>
      </c>
      <c r="B566" s="8">
        <v>78.841200124412069</v>
      </c>
      <c r="E566" s="8">
        <v>82.6</v>
      </c>
      <c r="F566" s="10">
        <f>AVERAGE($E$368:E566)</f>
        <v>82.486934673366846</v>
      </c>
      <c r="J566" s="11">
        <v>-1900</v>
      </c>
      <c r="K566" s="11">
        <v>-762</v>
      </c>
    </row>
    <row r="567" spans="1:11">
      <c r="A567" s="7">
        <v>44396</v>
      </c>
      <c r="B567" s="8">
        <v>78.775084421932732</v>
      </c>
      <c r="E567" s="8">
        <v>83.2</v>
      </c>
      <c r="F567" s="10">
        <f>AVERAGE($E$368:E567)</f>
        <v>82.490500000000011</v>
      </c>
      <c r="J567" s="11">
        <v>-1900</v>
      </c>
      <c r="K567" s="11">
        <v>-724</v>
      </c>
    </row>
    <row r="568" spans="1:11">
      <c r="A568" s="7">
        <v>44397</v>
      </c>
      <c r="B568" s="8">
        <v>78.708968719453395</v>
      </c>
      <c r="E568" s="8">
        <v>82.5</v>
      </c>
      <c r="F568" s="10">
        <f>AVERAGE($E$368:E568)</f>
        <v>82.490547263681606</v>
      </c>
      <c r="J568" s="11">
        <v>-1900</v>
      </c>
      <c r="K568" s="11">
        <v>-681</v>
      </c>
    </row>
    <row r="569" spans="1:11">
      <c r="A569" s="7">
        <v>44398</v>
      </c>
      <c r="B569" s="8">
        <v>78.642853016974058</v>
      </c>
      <c r="E569" s="8">
        <v>82.3</v>
      </c>
      <c r="F569" s="10">
        <f>AVERAGE($E$368:E569)</f>
        <v>82.489603960396053</v>
      </c>
      <c r="J569" s="11">
        <v>-1900</v>
      </c>
      <c r="K569" s="11">
        <v>-1443</v>
      </c>
    </row>
    <row r="570" spans="1:11">
      <c r="A570" s="7">
        <v>44399</v>
      </c>
      <c r="B570" s="8">
        <v>78.576737314494721</v>
      </c>
      <c r="E570" s="8">
        <v>82.1</v>
      </c>
      <c r="F570" s="10">
        <f>AVERAGE($E$368:E570)</f>
        <v>82.487684729064043</v>
      </c>
      <c r="J570" s="11">
        <v>-1900</v>
      </c>
      <c r="K570" s="11">
        <v>-771</v>
      </c>
    </row>
    <row r="571" spans="1:11">
      <c r="A571" s="7">
        <v>44400</v>
      </c>
      <c r="B571" s="8">
        <v>78.510621612015385</v>
      </c>
      <c r="E571" s="8">
        <v>81.7</v>
      </c>
      <c r="F571" s="10">
        <f>AVERAGE($E$368:E571)</f>
        <v>82.483823529411765</v>
      </c>
      <c r="J571" s="11">
        <v>-1900</v>
      </c>
      <c r="K571" s="11">
        <v>-607</v>
      </c>
    </row>
    <row r="572" spans="1:11">
      <c r="A572" s="7">
        <v>44401</v>
      </c>
      <c r="B572" s="8">
        <v>78.444505909536048</v>
      </c>
      <c r="E572" s="8">
        <v>80.900000000000006</v>
      </c>
      <c r="F572" s="10">
        <f>AVERAGE($E$368:E572)</f>
        <v>82.476097560975617</v>
      </c>
      <c r="J572" s="11">
        <v>-1900</v>
      </c>
      <c r="K572" s="11">
        <v>-1481</v>
      </c>
    </row>
    <row r="573" spans="1:11">
      <c r="A573" s="7">
        <v>44402</v>
      </c>
      <c r="B573" s="8">
        <v>78.378390207056711</v>
      </c>
      <c r="E573" s="8">
        <v>81.8</v>
      </c>
      <c r="F573" s="10">
        <f>AVERAGE($E$368:E573)</f>
        <v>82.472815533980594</v>
      </c>
      <c r="J573" s="11">
        <v>-1900</v>
      </c>
      <c r="K573" s="11">
        <v>-777</v>
      </c>
    </row>
    <row r="574" spans="1:11">
      <c r="A574" s="7">
        <v>44403</v>
      </c>
      <c r="B574" s="8">
        <v>78.312274504577374</v>
      </c>
      <c r="E574" s="8">
        <v>83</v>
      </c>
      <c r="F574" s="10">
        <f>AVERAGE($E$368:E574)</f>
        <v>82.475362318840581</v>
      </c>
      <c r="J574" s="11">
        <v>-1900</v>
      </c>
      <c r="K574" s="11">
        <v>-756</v>
      </c>
    </row>
    <row r="575" spans="1:11">
      <c r="A575" s="7">
        <v>44404</v>
      </c>
      <c r="B575" s="8">
        <v>78.246158802098037</v>
      </c>
      <c r="E575" s="8">
        <v>82.4</v>
      </c>
      <c r="F575" s="10">
        <f>AVERAGE($E$368:E575)</f>
        <v>82.475000000000009</v>
      </c>
      <c r="J575" s="11">
        <v>-1900</v>
      </c>
      <c r="K575" s="11">
        <v>-1044</v>
      </c>
    </row>
    <row r="576" spans="1:11">
      <c r="A576" s="7">
        <v>44405</v>
      </c>
      <c r="B576" s="8">
        <v>78.1800430996187</v>
      </c>
      <c r="E576" s="8">
        <v>81.599999999999994</v>
      </c>
      <c r="F576" s="10">
        <f>AVERAGE($E$368:E576)</f>
        <v>82.470813397129191</v>
      </c>
      <c r="J576" s="11">
        <v>-1900</v>
      </c>
      <c r="K576" s="11">
        <v>-674</v>
      </c>
    </row>
    <row r="577" spans="1:11">
      <c r="A577" s="7">
        <v>44406</v>
      </c>
      <c r="B577" s="8">
        <v>78.113927397139364</v>
      </c>
      <c r="E577" s="8">
        <v>82.3</v>
      </c>
      <c r="F577" s="10">
        <f>AVERAGE($E$368:E577)</f>
        <v>82.47</v>
      </c>
      <c r="J577" s="11">
        <v>-1900</v>
      </c>
      <c r="K577" s="11">
        <v>-1052</v>
      </c>
    </row>
    <row r="578" spans="1:11">
      <c r="A578" s="7">
        <v>44407</v>
      </c>
      <c r="B578" s="8">
        <v>78.047811694660027</v>
      </c>
      <c r="E578" s="8">
        <v>83.3</v>
      </c>
      <c r="F578" s="10">
        <f>AVERAGE($E$368:E578)</f>
        <v>82.473933649289094</v>
      </c>
      <c r="J578" s="11">
        <v>-1900</v>
      </c>
      <c r="K578" s="11">
        <v>-657</v>
      </c>
    </row>
    <row r="579" spans="1:11">
      <c r="A579" s="7">
        <v>44408</v>
      </c>
      <c r="B579" s="8">
        <v>77.98169599218069</v>
      </c>
      <c r="E579" s="8">
        <v>83.3</v>
      </c>
      <c r="F579" s="10">
        <f>AVERAGE($E$368:E579)</f>
        <v>82.477830188679235</v>
      </c>
      <c r="J579" s="11">
        <v>-1900</v>
      </c>
      <c r="K579" s="11">
        <v>-1431</v>
      </c>
    </row>
    <row r="580" spans="1:11">
      <c r="A580" s="7">
        <v>44409</v>
      </c>
      <c r="B580" s="8">
        <v>79.915580289701353</v>
      </c>
      <c r="E580" s="8">
        <v>83.3</v>
      </c>
      <c r="F580" s="10">
        <f>AVERAGE($E$368:E580)</f>
        <v>82.48169014084506</v>
      </c>
      <c r="J580" s="11">
        <v>-1900</v>
      </c>
      <c r="K580" s="11">
        <v>-918</v>
      </c>
    </row>
    <row r="581" spans="1:11">
      <c r="A581" s="7">
        <v>44410</v>
      </c>
      <c r="B581" s="8">
        <v>79.849464587222016</v>
      </c>
      <c r="E581" s="8">
        <v>85.2</v>
      </c>
      <c r="F581" s="10">
        <f>AVERAGE($E$368:E581)</f>
        <v>82.494392523364482</v>
      </c>
      <c r="J581" s="11">
        <v>-1900</v>
      </c>
      <c r="K581" s="11">
        <v>-778</v>
      </c>
    </row>
    <row r="582" spans="1:11">
      <c r="A582" s="7">
        <v>44411</v>
      </c>
      <c r="B582" s="8">
        <v>79.783348884742679</v>
      </c>
      <c r="E582" s="8">
        <v>83.2</v>
      </c>
      <c r="F582" s="10">
        <f>AVERAGE($E$368:E582)</f>
        <v>82.497674418604646</v>
      </c>
      <c r="J582" s="11">
        <v>-1900</v>
      </c>
      <c r="K582" s="11">
        <v>-1097</v>
      </c>
    </row>
    <row r="583" spans="1:11">
      <c r="A583" s="7">
        <v>44412</v>
      </c>
      <c r="B583" s="8">
        <v>79.717233182263342</v>
      </c>
      <c r="E583" s="8">
        <v>82.6</v>
      </c>
      <c r="F583" s="10">
        <f>AVERAGE($E$368:E583)</f>
        <v>82.498148148148147</v>
      </c>
      <c r="K583" s="11">
        <v>-930</v>
      </c>
    </row>
    <row r="584" spans="1:11">
      <c r="A584" s="7">
        <v>44413</v>
      </c>
      <c r="B584" s="8">
        <v>79.651117479784006</v>
      </c>
      <c r="E584" s="8">
        <v>82.9</v>
      </c>
      <c r="F584" s="10">
        <f>AVERAGE($E$368:E584)</f>
        <v>82.5</v>
      </c>
      <c r="K584" s="11">
        <v>-565</v>
      </c>
    </row>
    <row r="585" spans="1:11">
      <c r="A585" s="7">
        <v>44414</v>
      </c>
      <c r="B585" s="8">
        <v>79.585001777304669</v>
      </c>
      <c r="E585" s="8">
        <v>83.4</v>
      </c>
      <c r="F585" s="10">
        <f>AVERAGE($E$368:E585)</f>
        <v>82.504128440366983</v>
      </c>
      <c r="K585" s="11">
        <v>-796</v>
      </c>
    </row>
    <row r="586" spans="1:11">
      <c r="A586" s="7">
        <v>44415</v>
      </c>
      <c r="B586" s="8">
        <v>79.518886074825332</v>
      </c>
      <c r="E586" s="8">
        <v>83.5</v>
      </c>
      <c r="F586" s="10">
        <f>AVERAGE($E$368:E586)</f>
        <v>82.50867579908676</v>
      </c>
      <c r="K586" s="11">
        <v>-717</v>
      </c>
    </row>
    <row r="587" spans="1:11">
      <c r="A587" s="7">
        <v>44416</v>
      </c>
      <c r="B587" s="8">
        <v>79.452770372345995</v>
      </c>
      <c r="E587" s="8">
        <v>83.6</v>
      </c>
      <c r="F587" s="10">
        <f>AVERAGE($E$368:E587)</f>
        <v>82.513636363636365</v>
      </c>
      <c r="K587" s="11">
        <v>-752</v>
      </c>
    </row>
    <row r="588" spans="1:11">
      <c r="A588" s="7">
        <v>44417</v>
      </c>
      <c r="B588" s="8">
        <v>79.386654669866658</v>
      </c>
      <c r="E588" s="8">
        <v>85.2</v>
      </c>
      <c r="F588" s="10">
        <f>AVERAGE($E$368:E588)</f>
        <v>82.525791855203622</v>
      </c>
      <c r="K588" s="11">
        <v>-1899</v>
      </c>
    </row>
    <row r="589" spans="1:11">
      <c r="A589" s="7">
        <v>44418</v>
      </c>
      <c r="B589" s="8">
        <v>79.320538967387321</v>
      </c>
      <c r="E589" s="8">
        <v>85.1</v>
      </c>
      <c r="F589" s="10">
        <f>AVERAGE($E$368:E589)</f>
        <v>82.537387387387383</v>
      </c>
      <c r="K589" s="11">
        <v>-1002</v>
      </c>
    </row>
    <row r="590" spans="1:11">
      <c r="A590" s="7">
        <v>44419</v>
      </c>
      <c r="B590" s="8">
        <v>79.254423264907985</v>
      </c>
      <c r="E590" s="8">
        <v>85.2</v>
      </c>
      <c r="F590" s="10">
        <f>AVERAGE($E$368:E590)</f>
        <v>82.549327354260086</v>
      </c>
      <c r="K590" s="11">
        <v>-1419</v>
      </c>
    </row>
    <row r="591" spans="1:11">
      <c r="A591" s="7">
        <v>44420</v>
      </c>
      <c r="B591" s="8">
        <v>79.188307562428648</v>
      </c>
      <c r="E591" s="8">
        <v>85.3</v>
      </c>
      <c r="F591" s="10">
        <f>AVERAGE($E$368:E591)</f>
        <v>82.561607142857142</v>
      </c>
      <c r="K591" s="11">
        <v>-663</v>
      </c>
    </row>
    <row r="592" spans="1:11">
      <c r="A592" s="7">
        <v>44421</v>
      </c>
      <c r="B592" s="8">
        <v>79.122191859949311</v>
      </c>
      <c r="E592" s="8">
        <v>86</v>
      </c>
      <c r="F592" s="10">
        <f>AVERAGE($E$368:E592)</f>
        <v>82.576888888888888</v>
      </c>
      <c r="K592" s="11">
        <v>-1139</v>
      </c>
    </row>
    <row r="593" spans="1:11">
      <c r="A593" s="7">
        <v>44422</v>
      </c>
      <c r="B593" s="8">
        <v>79.056076157469974</v>
      </c>
      <c r="E593" s="8">
        <v>85.5</v>
      </c>
      <c r="F593" s="10">
        <f>AVERAGE($E$368:E593)</f>
        <v>82.58982300884955</v>
      </c>
      <c r="K593" s="11">
        <v>-1684</v>
      </c>
    </row>
    <row r="594" spans="1:11">
      <c r="A594" s="7">
        <v>44423</v>
      </c>
      <c r="B594" s="8">
        <v>78.989960454990637</v>
      </c>
      <c r="E594" s="8">
        <v>85.3</v>
      </c>
      <c r="F594" s="10">
        <f>AVERAGE($E$368:E594)</f>
        <v>82.601762114537436</v>
      </c>
      <c r="K594" s="11">
        <v>-1687</v>
      </c>
    </row>
    <row r="595" spans="1:11">
      <c r="A595" s="7">
        <v>44424</v>
      </c>
      <c r="B595" s="8">
        <v>78.9238447525113</v>
      </c>
      <c r="E595" s="8">
        <v>85.7</v>
      </c>
      <c r="F595" s="10">
        <f>AVERAGE($E$368:E595)</f>
        <v>82.615350877192981</v>
      </c>
      <c r="K595" s="11">
        <v>-2016</v>
      </c>
    </row>
    <row r="596" spans="1:11">
      <c r="A596" s="7">
        <v>44425</v>
      </c>
      <c r="B596" s="8">
        <v>78.857729050031963</v>
      </c>
      <c r="E596" s="8">
        <v>85.8</v>
      </c>
      <c r="F596" s="10">
        <f>AVERAGE($E$368:E596)</f>
        <v>82.629257641921384</v>
      </c>
      <c r="K596" s="11">
        <v>-852</v>
      </c>
    </row>
    <row r="597" spans="1:11">
      <c r="A597" s="7">
        <v>44426</v>
      </c>
      <c r="B597" s="8">
        <v>78.791613347552627</v>
      </c>
      <c r="E597" s="8">
        <v>86.6</v>
      </c>
      <c r="F597" s="10">
        <f>AVERAGE($E$368:E597)</f>
        <v>82.646521739130421</v>
      </c>
      <c r="K597" s="11">
        <v>-1112</v>
      </c>
    </row>
    <row r="598" spans="1:11">
      <c r="A598" s="7">
        <v>44427</v>
      </c>
      <c r="B598" s="8">
        <v>78.72549764507329</v>
      </c>
      <c r="E598" s="8">
        <v>86.6</v>
      </c>
      <c r="F598" s="10">
        <f>AVERAGE($E$368:E598)</f>
        <v>82.663636363636343</v>
      </c>
      <c r="K598" s="11">
        <v>-869</v>
      </c>
    </row>
    <row r="599" spans="1:11">
      <c r="A599" s="7">
        <v>44428</v>
      </c>
      <c r="B599" s="8">
        <v>78.659381942593953</v>
      </c>
      <c r="E599" s="8">
        <v>86</v>
      </c>
      <c r="F599" s="10">
        <f>AVERAGE($E$368:E599)</f>
        <v>82.678017241379294</v>
      </c>
      <c r="K599" s="11">
        <v>-722</v>
      </c>
    </row>
    <row r="600" spans="1:11">
      <c r="A600" s="7">
        <v>44429</v>
      </c>
      <c r="B600" s="8">
        <v>78.593266240114616</v>
      </c>
      <c r="E600" s="8">
        <v>86.8</v>
      </c>
      <c r="F600" s="10">
        <f>AVERAGE($E$368:E600)</f>
        <v>82.69570815450642</v>
      </c>
      <c r="K600" s="11">
        <v>-634</v>
      </c>
    </row>
    <row r="601" spans="1:11">
      <c r="A601" s="7">
        <v>44430</v>
      </c>
      <c r="B601" s="8">
        <v>78.527150537635279</v>
      </c>
      <c r="E601" s="8">
        <v>87.1</v>
      </c>
      <c r="F601" s="10">
        <f>AVERAGE($E$368:E601)</f>
        <v>82.714529914529891</v>
      </c>
      <c r="I601" s="11">
        <v>1480</v>
      </c>
      <c r="K601" s="11">
        <v>-685</v>
      </c>
    </row>
    <row r="602" spans="1:11">
      <c r="A602" s="7">
        <v>44431</v>
      </c>
      <c r="B602" s="8">
        <v>78.461034835155942</v>
      </c>
      <c r="E602" s="8">
        <v>86.1</v>
      </c>
      <c r="F602" s="10">
        <f>AVERAGE($E$368:E602)</f>
        <v>82.728936170212734</v>
      </c>
      <c r="I602" s="11">
        <v>1350</v>
      </c>
      <c r="K602" s="11">
        <v>-667</v>
      </c>
    </row>
    <row r="603" spans="1:11">
      <c r="A603" s="7">
        <v>44432</v>
      </c>
      <c r="B603" s="8">
        <v>78.394919132676605</v>
      </c>
      <c r="E603" s="8">
        <v>84.2</v>
      </c>
      <c r="F603" s="10">
        <f>AVERAGE($E$368:E603)</f>
        <v>82.735169491525397</v>
      </c>
      <c r="I603" s="11">
        <v>1918</v>
      </c>
      <c r="K603" s="11">
        <v>-1332</v>
      </c>
    </row>
    <row r="604" spans="1:11">
      <c r="A604" s="7">
        <v>44433</v>
      </c>
      <c r="B604" s="8">
        <v>78.328803430197269</v>
      </c>
      <c r="E604" s="8">
        <v>83.6</v>
      </c>
      <c r="F604" s="10">
        <f>AVERAGE($E$368:E604)</f>
        <v>82.738818565400805</v>
      </c>
      <c r="I604" s="11">
        <v>2130</v>
      </c>
      <c r="K604" s="11">
        <v>-822</v>
      </c>
    </row>
    <row r="605" spans="1:11">
      <c r="A605" s="7">
        <v>44434</v>
      </c>
      <c r="B605" s="8">
        <v>78.262687727717932</v>
      </c>
      <c r="E605" s="8">
        <v>85</v>
      </c>
      <c r="F605" s="10">
        <f>AVERAGE($E$368:E605)</f>
        <v>82.748319327731053</v>
      </c>
      <c r="I605" s="11">
        <v>2940</v>
      </c>
      <c r="K605" s="11">
        <v>-578</v>
      </c>
    </row>
    <row r="606" spans="1:11">
      <c r="A606" s="7">
        <v>44435</v>
      </c>
      <c r="B606" s="8">
        <v>78.196572025238595</v>
      </c>
      <c r="E606" s="8">
        <v>86.1</v>
      </c>
      <c r="F606" s="10">
        <f>AVERAGE($E$368:E606)</f>
        <v>82.762343096234261</v>
      </c>
      <c r="I606" s="11">
        <v>1404</v>
      </c>
      <c r="K606" s="11">
        <v>-639</v>
      </c>
    </row>
    <row r="607" spans="1:11">
      <c r="A607" s="7">
        <v>44436</v>
      </c>
      <c r="B607" s="8">
        <v>78.130456322759258</v>
      </c>
      <c r="E607" s="8">
        <v>85.1</v>
      </c>
      <c r="F607" s="10">
        <f>AVERAGE($E$368:E607)</f>
        <v>82.772083333333285</v>
      </c>
      <c r="I607" s="11">
        <v>1698</v>
      </c>
      <c r="K607" s="11">
        <v>-1460</v>
      </c>
    </row>
    <row r="608" spans="1:11">
      <c r="A608" s="7">
        <v>44437</v>
      </c>
      <c r="B608" s="8">
        <v>78.064340620279921</v>
      </c>
      <c r="E608" s="8">
        <v>85.2</v>
      </c>
      <c r="F608" s="10">
        <f>AVERAGE($E$368:E608)</f>
        <v>82.782157676348504</v>
      </c>
      <c r="I608" s="11">
        <v>2561</v>
      </c>
      <c r="K608" s="11">
        <v>-626</v>
      </c>
    </row>
    <row r="609" spans="1:11">
      <c r="A609" s="7">
        <v>44438</v>
      </c>
      <c r="B609" s="8">
        <v>77.998224917800584</v>
      </c>
      <c r="E609" s="8">
        <v>86.2</v>
      </c>
      <c r="F609" s="10">
        <f>AVERAGE($E$368:E609)</f>
        <v>82.7962809917355</v>
      </c>
      <c r="I609" s="11">
        <v>1464</v>
      </c>
      <c r="K609" s="11">
        <v>-639</v>
      </c>
    </row>
    <row r="610" spans="1:11">
      <c r="A610" s="7">
        <v>44439</v>
      </c>
      <c r="B610" s="8">
        <v>77.932109215321248</v>
      </c>
      <c r="E610" s="8">
        <v>84</v>
      </c>
      <c r="F610" s="10">
        <f>AVERAGE($E$368:E610)</f>
        <v>82.80123456790119</v>
      </c>
      <c r="I610" s="11">
        <v>2230</v>
      </c>
      <c r="K610" s="11">
        <v>-576</v>
      </c>
    </row>
    <row r="611" spans="1:11">
      <c r="A611" s="7">
        <v>44440</v>
      </c>
      <c r="B611" s="8">
        <v>79.965993512841905</v>
      </c>
      <c r="E611" s="8">
        <v>83.6</v>
      </c>
      <c r="F611" s="10">
        <f>AVERAGE($E$368:E611)</f>
        <v>82.804508196721258</v>
      </c>
      <c r="I611" s="11">
        <v>3064</v>
      </c>
      <c r="K611" s="11">
        <v>-674</v>
      </c>
    </row>
    <row r="612" spans="1:11">
      <c r="A612" s="7">
        <v>44441</v>
      </c>
      <c r="B612" s="8">
        <v>79.899877810362568</v>
      </c>
      <c r="E612" s="8">
        <v>84</v>
      </c>
      <c r="F612" s="10">
        <f>AVERAGE($E$368:E612)</f>
        <v>82.809387755101994</v>
      </c>
      <c r="I612" s="11">
        <v>1841</v>
      </c>
      <c r="K612" s="11">
        <v>-792</v>
      </c>
    </row>
    <row r="613" spans="1:11">
      <c r="A613" s="7">
        <v>44442</v>
      </c>
      <c r="B613" s="8">
        <v>79.833762107883231</v>
      </c>
      <c r="E613" s="8">
        <v>84.3</v>
      </c>
      <c r="F613" s="10">
        <f>AVERAGE($E$368:E613)</f>
        <v>82.815447154471499</v>
      </c>
      <c r="I613" s="11">
        <v>1888</v>
      </c>
      <c r="K613" s="11">
        <v>-831</v>
      </c>
    </row>
    <row r="614" spans="1:11">
      <c r="A614" s="7">
        <v>44443</v>
      </c>
      <c r="B614" s="8">
        <v>79.767646405403895</v>
      </c>
      <c r="E614" s="8">
        <v>83.4</v>
      </c>
      <c r="F614" s="10">
        <f>AVERAGE($E$368:E614)</f>
        <v>82.817813765182137</v>
      </c>
      <c r="I614" s="11">
        <v>2864</v>
      </c>
      <c r="K614" s="11">
        <v>-1646</v>
      </c>
    </row>
    <row r="615" spans="1:11">
      <c r="A615" s="7">
        <v>44444</v>
      </c>
      <c r="B615" s="8">
        <v>79.701530702924558</v>
      </c>
      <c r="E615" s="8">
        <v>84.8</v>
      </c>
      <c r="F615" s="10">
        <f>AVERAGE($E$368:E615)</f>
        <v>82.825806451612863</v>
      </c>
      <c r="I615" s="11">
        <v>1709</v>
      </c>
      <c r="K615" s="11">
        <v>-900</v>
      </c>
    </row>
    <row r="616" spans="1:11">
      <c r="A616" s="7">
        <v>44445</v>
      </c>
      <c r="B616" s="8">
        <v>79.635415000445221</v>
      </c>
      <c r="E616" s="8">
        <v>84.9</v>
      </c>
      <c r="F616" s="10">
        <f>AVERAGE($E$368:E616)</f>
        <v>82.834136546184695</v>
      </c>
      <c r="I616" s="11">
        <v>1610</v>
      </c>
      <c r="K616" s="11">
        <v>-808</v>
      </c>
    </row>
    <row r="617" spans="1:11">
      <c r="A617" s="7">
        <v>44446</v>
      </c>
      <c r="B617" s="8">
        <v>79.569299297965884</v>
      </c>
      <c r="E617" s="8">
        <v>83.5</v>
      </c>
      <c r="F617" s="10">
        <f>AVERAGE($E$368:E617)</f>
        <v>82.836799999999954</v>
      </c>
      <c r="I617" s="11">
        <v>1537</v>
      </c>
      <c r="K617" s="11">
        <v>-905</v>
      </c>
    </row>
    <row r="618" spans="1:11">
      <c r="A618" s="7">
        <v>44447</v>
      </c>
      <c r="B618" s="8">
        <v>79.503183595486547</v>
      </c>
      <c r="E618" s="8">
        <v>83.2</v>
      </c>
      <c r="F618" s="10">
        <f>AVERAGE($E$368:E618)</f>
        <v>82.838247011952149</v>
      </c>
      <c r="I618" s="11">
        <v>1533</v>
      </c>
      <c r="K618" s="11">
        <v>-780</v>
      </c>
    </row>
    <row r="619" spans="1:11">
      <c r="A619" s="7">
        <v>44448</v>
      </c>
      <c r="B619" s="8">
        <v>79.43706789300721</v>
      </c>
      <c r="E619" s="8">
        <v>83</v>
      </c>
      <c r="F619" s="10">
        <f>AVERAGE($E$368:E619)</f>
        <v>82.838888888888846</v>
      </c>
      <c r="I619" s="11">
        <v>2154</v>
      </c>
      <c r="K619" s="11">
        <v>-876</v>
      </c>
    </row>
    <row r="620" spans="1:11">
      <c r="A620" s="7">
        <v>44449</v>
      </c>
      <c r="B620" s="8">
        <v>79.370952190527873</v>
      </c>
      <c r="E620" s="8">
        <v>83</v>
      </c>
      <c r="F620" s="10">
        <f>AVERAGE($E$368:E620)</f>
        <v>82.839525691699563</v>
      </c>
      <c r="I620" s="11">
        <v>1912</v>
      </c>
      <c r="K620" s="11">
        <v>-995</v>
      </c>
    </row>
    <row r="621" spans="1:11">
      <c r="A621" s="7">
        <v>44450</v>
      </c>
      <c r="B621" s="8">
        <v>79.304836488048537</v>
      </c>
      <c r="E621" s="8">
        <v>82.9</v>
      </c>
      <c r="F621" s="10">
        <f>AVERAGE($E$368:E621)</f>
        <v>82.83976377952753</v>
      </c>
      <c r="I621" s="11">
        <v>2576</v>
      </c>
      <c r="K621" s="11">
        <v>-788</v>
      </c>
    </row>
    <row r="622" spans="1:11">
      <c r="A622" s="7">
        <v>44451</v>
      </c>
      <c r="B622" s="8">
        <v>79.2387207855692</v>
      </c>
      <c r="E622" s="8">
        <v>84</v>
      </c>
      <c r="F622" s="10">
        <f>AVERAGE($E$368:E622)</f>
        <v>82.844313725490167</v>
      </c>
      <c r="I622" s="11">
        <v>3063</v>
      </c>
      <c r="K622" s="11">
        <v>-765</v>
      </c>
    </row>
    <row r="623" spans="1:11">
      <c r="A623" s="7">
        <v>44452</v>
      </c>
      <c r="B623" s="8">
        <v>79.172605083089863</v>
      </c>
      <c r="E623" s="8">
        <v>83.8</v>
      </c>
      <c r="F623" s="10">
        <f>AVERAGE($E$368:E623)</f>
        <v>82.848046874999966</v>
      </c>
      <c r="I623" s="11">
        <v>1344</v>
      </c>
      <c r="K623" s="11">
        <v>-862</v>
      </c>
    </row>
    <row r="624" spans="1:11">
      <c r="A624" s="7">
        <v>44453</v>
      </c>
      <c r="B624" s="8">
        <v>79.106489380610526</v>
      </c>
      <c r="E624" s="8">
        <v>82.2</v>
      </c>
      <c r="F624" s="10">
        <f>AVERAGE($E$368:E624)</f>
        <v>82.845525291828764</v>
      </c>
      <c r="I624" s="11">
        <v>2991</v>
      </c>
      <c r="K624" s="11">
        <v>-904</v>
      </c>
    </row>
    <row r="625" spans="1:11">
      <c r="A625" s="7">
        <v>44454</v>
      </c>
      <c r="B625" s="8">
        <v>79.040373678131189</v>
      </c>
      <c r="E625" s="8">
        <v>83</v>
      </c>
      <c r="F625" s="10">
        <f>AVERAGE($E$368:E625)</f>
        <v>82.846124031007719</v>
      </c>
      <c r="I625" s="11">
        <v>2398</v>
      </c>
      <c r="K625" s="11">
        <v>-840</v>
      </c>
    </row>
    <row r="626" spans="1:11">
      <c r="A626" s="7">
        <v>44455</v>
      </c>
      <c r="B626" s="8">
        <v>78.974257975651852</v>
      </c>
      <c r="E626" s="8">
        <v>83.1</v>
      </c>
      <c r="F626" s="10">
        <f>AVERAGE($E$368:E626)</f>
        <v>82.847104247104213</v>
      </c>
      <c r="I626" s="11">
        <v>1349</v>
      </c>
      <c r="K626" s="11">
        <v>-614</v>
      </c>
    </row>
    <row r="627" spans="1:11">
      <c r="A627" s="7">
        <v>44456</v>
      </c>
      <c r="B627" s="8">
        <v>78.908142273172516</v>
      </c>
      <c r="E627" s="8">
        <v>82.1</v>
      </c>
      <c r="F627" s="10">
        <f>AVERAGE($E$368:E627)</f>
        <v>82.844230769230734</v>
      </c>
      <c r="I627" s="11">
        <v>2010</v>
      </c>
      <c r="K627" s="11">
        <v>-747</v>
      </c>
    </row>
    <row r="628" spans="1:11">
      <c r="A628" s="7">
        <v>44457</v>
      </c>
      <c r="B628" s="8">
        <v>78.842026570693179</v>
      </c>
      <c r="E628" s="8">
        <v>81.8</v>
      </c>
      <c r="F628" s="10">
        <f>AVERAGE($E$368:E628)</f>
        <v>82.840229885057425</v>
      </c>
      <c r="I628" s="11">
        <v>3104</v>
      </c>
      <c r="K628" s="11">
        <v>-790</v>
      </c>
    </row>
    <row r="629" spans="1:11">
      <c r="A629" s="7">
        <v>44458</v>
      </c>
      <c r="B629" s="8">
        <v>78.775910868213842</v>
      </c>
      <c r="E629" s="8">
        <v>82.9</v>
      </c>
      <c r="F629" s="10">
        <f>AVERAGE($E$368:E629)</f>
        <v>82.840458015267131</v>
      </c>
      <c r="I629" s="11">
        <v>2765</v>
      </c>
      <c r="K629" s="11">
        <v>-856</v>
      </c>
    </row>
    <row r="630" spans="1:11">
      <c r="A630" s="7">
        <v>44459</v>
      </c>
      <c r="B630" s="8">
        <v>78.709795165734505</v>
      </c>
      <c r="E630" s="8">
        <v>84</v>
      </c>
      <c r="F630" s="10">
        <f>AVERAGE($E$368:E630)</f>
        <v>82.844866920152057</v>
      </c>
      <c r="I630" s="11">
        <v>1496</v>
      </c>
      <c r="K630" s="11">
        <v>-728</v>
      </c>
    </row>
    <row r="631" spans="1:11">
      <c r="A631" s="7">
        <v>44460</v>
      </c>
      <c r="B631" s="8">
        <v>78.643679463255168</v>
      </c>
      <c r="E631" s="8">
        <v>82.6</v>
      </c>
      <c r="F631" s="10">
        <f>AVERAGE($E$368:E631)</f>
        <v>82.843939393939351</v>
      </c>
      <c r="I631" s="11">
        <v>2065</v>
      </c>
      <c r="K631" s="11">
        <v>-648</v>
      </c>
    </row>
    <row r="632" spans="1:11">
      <c r="A632" s="7">
        <v>44461</v>
      </c>
      <c r="B632" s="8">
        <v>78.577563760775831</v>
      </c>
      <c r="E632" s="8">
        <v>82.5</v>
      </c>
      <c r="F632" s="10">
        <f>AVERAGE($E$368:E632)</f>
        <v>82.842641509433918</v>
      </c>
      <c r="I632" s="11">
        <v>1719</v>
      </c>
      <c r="K632" s="11">
        <v>-807</v>
      </c>
    </row>
    <row r="633" spans="1:11">
      <c r="A633" s="7">
        <v>44462</v>
      </c>
      <c r="B633" s="8">
        <v>78.511448058296494</v>
      </c>
      <c r="E633" s="8">
        <v>82.6</v>
      </c>
      <c r="F633" s="10">
        <f>AVERAGE($E$368:E633)</f>
        <v>82.841729323308215</v>
      </c>
      <c r="I633" s="11">
        <v>1660</v>
      </c>
      <c r="K633" s="11">
        <v>-653</v>
      </c>
    </row>
    <row r="634" spans="1:11">
      <c r="A634" s="7">
        <v>44463</v>
      </c>
      <c r="B634" s="8">
        <v>78.445332355817158</v>
      </c>
      <c r="E634" s="8">
        <v>82.4</v>
      </c>
      <c r="F634" s="10">
        <f>AVERAGE($E$368:E634)</f>
        <v>82.840074906366993</v>
      </c>
      <c r="I634" s="11">
        <v>1884</v>
      </c>
      <c r="K634" s="11">
        <v>-699</v>
      </c>
    </row>
    <row r="635" spans="1:11">
      <c r="A635" s="7">
        <v>44464</v>
      </c>
      <c r="B635" s="8">
        <v>78.379216653337821</v>
      </c>
      <c r="E635" s="8">
        <v>81.900000000000006</v>
      </c>
      <c r="F635" s="10">
        <f>AVERAGE($E$368:E635)</f>
        <v>82.836567164179073</v>
      </c>
      <c r="I635" s="11">
        <v>3120</v>
      </c>
      <c r="K635" s="11">
        <v>-1398</v>
      </c>
    </row>
    <row r="636" spans="1:11">
      <c r="A636" s="7">
        <v>44465</v>
      </c>
      <c r="B636" s="8">
        <v>78.313100950858484</v>
      </c>
      <c r="E636" s="8">
        <v>84.1</v>
      </c>
      <c r="F636" s="10">
        <f>AVERAGE($E$368:E636)</f>
        <v>82.841263940520406</v>
      </c>
      <c r="I636" s="11">
        <v>2927</v>
      </c>
      <c r="K636" s="11">
        <v>-881</v>
      </c>
    </row>
    <row r="637" spans="1:11">
      <c r="A637" s="7">
        <v>44466</v>
      </c>
      <c r="B637" s="8">
        <v>78.246985248379147</v>
      </c>
      <c r="E637" s="8">
        <v>85.1</v>
      </c>
      <c r="F637" s="10">
        <f>AVERAGE($E$368:E637)</f>
        <v>82.849629629629575</v>
      </c>
      <c r="I637" s="11">
        <v>1255</v>
      </c>
      <c r="K637" s="11">
        <v>-663</v>
      </c>
    </row>
    <row r="638" spans="1:11">
      <c r="A638" s="7">
        <v>44467</v>
      </c>
      <c r="B638" s="8">
        <v>78.18086954589981</v>
      </c>
      <c r="E638" s="8">
        <v>82.4</v>
      </c>
      <c r="F638" s="10">
        <f>AVERAGE($E$368:E638)</f>
        <v>82.847970479704756</v>
      </c>
      <c r="I638" s="11">
        <v>1965</v>
      </c>
      <c r="K638" s="11">
        <v>-726</v>
      </c>
    </row>
    <row r="639" spans="1:11">
      <c r="A639" s="7">
        <v>44468</v>
      </c>
      <c r="B639" s="8">
        <v>78.114753843420473</v>
      </c>
      <c r="E639" s="8">
        <v>81.8</v>
      </c>
      <c r="F639" s="10">
        <f>AVERAGE($E$368:E639)</f>
        <v>82.844117647058781</v>
      </c>
      <c r="I639" s="11">
        <v>1572</v>
      </c>
      <c r="K639" s="11">
        <v>-1168</v>
      </c>
    </row>
    <row r="640" spans="1:11">
      <c r="A640" s="7">
        <v>44469</v>
      </c>
      <c r="B640" s="8">
        <v>78.048638140941136</v>
      </c>
      <c r="E640" s="8">
        <v>81.8</v>
      </c>
      <c r="F640" s="10">
        <f>AVERAGE($E$368:E640)</f>
        <v>82.840293040292991</v>
      </c>
      <c r="I640" s="11">
        <v>1529</v>
      </c>
      <c r="K640" s="11">
        <v>-767</v>
      </c>
    </row>
    <row r="641" spans="1:11">
      <c r="A641" s="7">
        <v>44470</v>
      </c>
      <c r="B641" s="8">
        <v>81.9825224384618</v>
      </c>
      <c r="E641" s="8">
        <v>81</v>
      </c>
      <c r="F641" s="10">
        <f>AVERAGE($E$368:E641)</f>
        <v>82.833576642335714</v>
      </c>
      <c r="I641" s="11">
        <v>2050</v>
      </c>
      <c r="K641" s="11">
        <v>-829</v>
      </c>
    </row>
    <row r="642" spans="1:11">
      <c r="A642" s="7">
        <v>44471</v>
      </c>
      <c r="B642" s="8">
        <v>81.883348884742787</v>
      </c>
      <c r="E642" s="8">
        <v>81.099999999999994</v>
      </c>
      <c r="F642" s="10">
        <f>AVERAGE($E$368:E642)</f>
        <v>82.827272727272671</v>
      </c>
      <c r="I642" s="11">
        <v>2726</v>
      </c>
      <c r="K642" s="11">
        <v>-842</v>
      </c>
    </row>
    <row r="643" spans="1:11">
      <c r="A643" s="7">
        <v>44472</v>
      </c>
      <c r="B643" s="8">
        <v>81.784175331023775</v>
      </c>
      <c r="E643" s="8">
        <v>81.400000000000006</v>
      </c>
      <c r="F643" s="10">
        <f>AVERAGE($E$368:E643)</f>
        <v>82.822101449275308</v>
      </c>
      <c r="I643" s="11">
        <v>2909</v>
      </c>
      <c r="K643" s="11">
        <v>-610</v>
      </c>
    </row>
    <row r="644" spans="1:11">
      <c r="A644" s="7">
        <v>44473</v>
      </c>
      <c r="B644" s="8">
        <v>81.685001777304763</v>
      </c>
      <c r="E644" s="8">
        <v>82.5</v>
      </c>
      <c r="F644" s="10">
        <f>AVERAGE($E$368:E644)</f>
        <v>82.8209386281588</v>
      </c>
      <c r="I644" s="11">
        <v>1475</v>
      </c>
      <c r="K644" s="11">
        <v>-659</v>
      </c>
    </row>
    <row r="645" spans="1:11">
      <c r="A645" s="7">
        <v>44474</v>
      </c>
      <c r="B645" s="8">
        <v>81.58582822358575</v>
      </c>
      <c r="E645" s="8">
        <v>81.5</v>
      </c>
      <c r="F645" s="10">
        <f>AVERAGE($E$368:E645)</f>
        <v>82.816187050359659</v>
      </c>
      <c r="I645" s="11">
        <v>1612</v>
      </c>
      <c r="K645" s="11">
        <v>-690</v>
      </c>
    </row>
    <row r="646" spans="1:11">
      <c r="A646" s="7">
        <v>44475</v>
      </c>
      <c r="B646" s="8">
        <v>81.486654669866738</v>
      </c>
      <c r="E646" s="8">
        <v>81.3</v>
      </c>
      <c r="F646" s="10">
        <f>AVERAGE($E$368:E646)</f>
        <v>82.810752688171988</v>
      </c>
      <c r="I646" s="11">
        <v>1343</v>
      </c>
      <c r="K646" s="11">
        <v>-1015</v>
      </c>
    </row>
    <row r="647" spans="1:11">
      <c r="A647" s="7">
        <v>44476</v>
      </c>
      <c r="B647" s="8">
        <v>81.387481116147725</v>
      </c>
      <c r="E647" s="8">
        <v>80.7</v>
      </c>
      <c r="F647" s="10">
        <f>AVERAGE($E$368:E647)</f>
        <v>82.803214285714233</v>
      </c>
      <c r="I647" s="11">
        <v>1691</v>
      </c>
      <c r="K647" s="11">
        <v>-701</v>
      </c>
    </row>
    <row r="648" spans="1:11">
      <c r="A648" s="7">
        <v>44477</v>
      </c>
      <c r="B648" s="8">
        <v>81.288307562428713</v>
      </c>
      <c r="E648" s="8">
        <v>81.2</v>
      </c>
      <c r="F648" s="10">
        <f>AVERAGE($E$368:E648)</f>
        <v>82.797508896797112</v>
      </c>
      <c r="I648" s="11">
        <v>1785</v>
      </c>
      <c r="K648" s="11">
        <v>-660</v>
      </c>
    </row>
    <row r="649" spans="1:11">
      <c r="A649" s="7">
        <v>44478</v>
      </c>
      <c r="B649" s="8">
        <v>81.189134008709701</v>
      </c>
      <c r="E649" s="8">
        <v>81.3</v>
      </c>
      <c r="F649" s="10">
        <f>AVERAGE($E$368:E649)</f>
        <v>82.792198581560243</v>
      </c>
      <c r="I649" s="11">
        <v>2570</v>
      </c>
      <c r="K649" s="11">
        <v>-1186</v>
      </c>
    </row>
    <row r="650" spans="1:11">
      <c r="A650" s="7">
        <v>44479</v>
      </c>
      <c r="B650" s="8">
        <v>81.089960454990688</v>
      </c>
      <c r="E650" s="8">
        <v>82.2</v>
      </c>
      <c r="F650" s="10">
        <f>AVERAGE($E$368:E650)</f>
        <v>82.790106007067095</v>
      </c>
      <c r="I650" s="11">
        <v>2384</v>
      </c>
      <c r="K650" s="11">
        <v>-809</v>
      </c>
    </row>
    <row r="651" spans="1:11">
      <c r="A651" s="7">
        <v>44480</v>
      </c>
      <c r="B651" s="8">
        <v>80.990786901271676</v>
      </c>
      <c r="E651" s="8">
        <v>81.400000000000006</v>
      </c>
      <c r="F651" s="10">
        <f>AVERAGE($E$368:E651)</f>
        <v>82.78521126760559</v>
      </c>
      <c r="I651" s="11">
        <v>1432</v>
      </c>
      <c r="K651" s="11">
        <v>-901</v>
      </c>
    </row>
    <row r="652" spans="1:11">
      <c r="A652" s="7">
        <v>44481</v>
      </c>
      <c r="B652" s="8">
        <v>80.891613347552664</v>
      </c>
      <c r="E652" s="8">
        <v>81.099999999999994</v>
      </c>
      <c r="F652" s="10">
        <f>AVERAGE($E$368:E652)</f>
        <v>82.779298245613987</v>
      </c>
      <c r="I652" s="11">
        <v>1719</v>
      </c>
      <c r="K652" s="11">
        <v>-1047</v>
      </c>
    </row>
    <row r="653" spans="1:11">
      <c r="A653" s="7">
        <v>44482</v>
      </c>
      <c r="B653" s="8">
        <v>80.792439793833651</v>
      </c>
      <c r="E653" s="8">
        <v>80.599999999999994</v>
      </c>
      <c r="F653" s="10">
        <f>AVERAGE($E$368:E653)</f>
        <v>82.77167832167828</v>
      </c>
      <c r="I653" s="11">
        <v>1722</v>
      </c>
      <c r="K653" s="11">
        <v>-632</v>
      </c>
    </row>
    <row r="654" spans="1:11">
      <c r="A654" s="7">
        <v>44483</v>
      </c>
      <c r="B654" s="8">
        <v>80.693266240114639</v>
      </c>
      <c r="E654" s="8">
        <v>80.5</v>
      </c>
      <c r="F654" s="10">
        <f>AVERAGE($E$368:E654)</f>
        <v>82.763763066202046</v>
      </c>
      <c r="I654" s="11">
        <v>1516</v>
      </c>
      <c r="K654" s="11">
        <v>-1246</v>
      </c>
    </row>
    <row r="655" spans="1:11">
      <c r="A655" s="7">
        <v>44484</v>
      </c>
      <c r="B655" s="8">
        <v>80.594092686395626</v>
      </c>
      <c r="E655" s="8">
        <v>79.900000000000006</v>
      </c>
      <c r="F655" s="10">
        <f>AVERAGE($E$368:E655)</f>
        <v>82.753819444444403</v>
      </c>
      <c r="I655" s="11">
        <v>2386</v>
      </c>
      <c r="K655" s="11">
        <v>-631</v>
      </c>
    </row>
    <row r="656" spans="1:11">
      <c r="A656" s="7">
        <v>44485</v>
      </c>
      <c r="B656" s="8">
        <v>80.494919132676614</v>
      </c>
      <c r="E656" s="8">
        <v>80.5</v>
      </c>
      <c r="F656" s="10">
        <f>AVERAGE($E$368:E656)</f>
        <v>82.746020761245632</v>
      </c>
      <c r="I656" s="11">
        <v>2213</v>
      </c>
      <c r="K656" s="11">
        <v>-631</v>
      </c>
    </row>
    <row r="657" spans="1:11">
      <c r="A657" s="7">
        <v>44486</v>
      </c>
      <c r="B657" s="8">
        <v>80.395745578957602</v>
      </c>
      <c r="E657" s="8">
        <v>81.3</v>
      </c>
      <c r="F657" s="10">
        <f>AVERAGE($E$368:E657)</f>
        <v>82.741034482758579</v>
      </c>
      <c r="I657" s="11">
        <v>3569</v>
      </c>
      <c r="K657" s="11">
        <v>-1108</v>
      </c>
    </row>
    <row r="658" spans="1:11">
      <c r="A658" s="7">
        <v>44487</v>
      </c>
      <c r="B658" s="8">
        <v>80.296572025238589</v>
      </c>
      <c r="E658" s="8">
        <v>81.8</v>
      </c>
      <c r="F658" s="10">
        <f>AVERAGE($E$368:E658)</f>
        <v>82.737800687285173</v>
      </c>
      <c r="I658" s="11">
        <v>1626</v>
      </c>
      <c r="K658" s="11">
        <v>-976</v>
      </c>
    </row>
    <row r="659" spans="1:11">
      <c r="A659" s="7">
        <v>44488</v>
      </c>
      <c r="B659" s="8">
        <v>80.197398471519577</v>
      </c>
      <c r="E659" s="8">
        <v>80.8</v>
      </c>
      <c r="F659" s="10">
        <f>AVERAGE($E$368:E659)</f>
        <v>82.731164383561591</v>
      </c>
      <c r="I659" s="11">
        <v>1812</v>
      </c>
      <c r="K659" s="11">
        <v>-636</v>
      </c>
    </row>
    <row r="660" spans="1:11">
      <c r="A660" s="7">
        <v>44489</v>
      </c>
      <c r="B660" s="8">
        <v>80.098224917800565</v>
      </c>
      <c r="E660" s="8">
        <v>81.2</v>
      </c>
      <c r="F660" s="10">
        <f>AVERAGE($E$368:E660)</f>
        <v>82.725938566552855</v>
      </c>
      <c r="I660" s="11">
        <v>1229</v>
      </c>
      <c r="K660" s="11">
        <v>-730</v>
      </c>
    </row>
    <row r="661" spans="1:11">
      <c r="A661" s="7">
        <v>44490</v>
      </c>
      <c r="B661" s="8">
        <v>79.999051364081552</v>
      </c>
      <c r="E661" s="8">
        <v>80.2</v>
      </c>
      <c r="F661" s="10">
        <f>AVERAGE($E$368:E661)</f>
        <v>82.717346938775464</v>
      </c>
      <c r="I661" s="11">
        <v>1498</v>
      </c>
      <c r="K661" s="11">
        <v>-684</v>
      </c>
    </row>
    <row r="662" spans="1:11">
      <c r="A662" s="7">
        <v>44491</v>
      </c>
      <c r="B662" s="8">
        <v>79.89987781036254</v>
      </c>
      <c r="E662" s="8">
        <v>79.8</v>
      </c>
      <c r="F662" s="10">
        <f>AVERAGE($E$368:E662)</f>
        <v>82.7074576271186</v>
      </c>
      <c r="I662" s="11">
        <v>1870</v>
      </c>
      <c r="K662" s="11">
        <v>-1162</v>
      </c>
    </row>
    <row r="663" spans="1:11">
      <c r="A663" s="7">
        <v>44492</v>
      </c>
      <c r="B663" s="8">
        <v>79.800704256643527</v>
      </c>
      <c r="E663" s="8">
        <v>79.7</v>
      </c>
      <c r="F663" s="10">
        <f>AVERAGE($E$368:E663)</f>
        <v>82.697297297297254</v>
      </c>
      <c r="I663" s="11">
        <v>2646</v>
      </c>
      <c r="K663" s="11">
        <v>-913</v>
      </c>
    </row>
    <row r="664" spans="1:11">
      <c r="A664" s="7">
        <v>44493</v>
      </c>
      <c r="B664" s="8">
        <v>79.701530702924515</v>
      </c>
      <c r="E664" s="8">
        <v>81.3</v>
      </c>
      <c r="F664" s="10">
        <f>AVERAGE($E$368:E664)</f>
        <v>82.692592592592547</v>
      </c>
      <c r="I664" s="11">
        <v>3863</v>
      </c>
      <c r="K664" s="11">
        <v>-1045</v>
      </c>
    </row>
    <row r="665" spans="1:11">
      <c r="A665" s="7">
        <v>44494</v>
      </c>
      <c r="B665" s="8">
        <v>79.602357149205503</v>
      </c>
      <c r="E665" s="8">
        <v>82</v>
      </c>
      <c r="F665" s="10">
        <f>AVERAGE($E$368:E665)</f>
        <v>82.69026845637579</v>
      </c>
      <c r="I665" s="11">
        <v>1556</v>
      </c>
      <c r="K665" s="11">
        <v>-755</v>
      </c>
    </row>
    <row r="666" spans="1:11">
      <c r="A666" s="7">
        <v>44495</v>
      </c>
      <c r="B666" s="8">
        <v>79.50318359548649</v>
      </c>
      <c r="E666" s="8">
        <v>81.2</v>
      </c>
      <c r="F666" s="10">
        <f>AVERAGE($E$368:E666)</f>
        <v>82.685284280936415</v>
      </c>
      <c r="I666" s="11">
        <v>1699</v>
      </c>
      <c r="K666" s="11">
        <v>-1068</v>
      </c>
    </row>
    <row r="667" spans="1:11">
      <c r="A667" s="7">
        <v>44496</v>
      </c>
      <c r="B667" s="8">
        <v>79.404010041767478</v>
      </c>
      <c r="E667" s="8">
        <v>80.2</v>
      </c>
      <c r="F667" s="10">
        <f>AVERAGE($E$368:E667)</f>
        <v>82.676999999999964</v>
      </c>
      <c r="I667" s="11">
        <v>1873</v>
      </c>
      <c r="K667" s="11">
        <v>-776</v>
      </c>
    </row>
    <row r="668" spans="1:11">
      <c r="A668" s="7">
        <v>44497</v>
      </c>
      <c r="B668" s="8">
        <v>79.304836488048466</v>
      </c>
      <c r="E668" s="8">
        <v>80</v>
      </c>
      <c r="F668" s="10">
        <f>AVERAGE($E$368:E668)</f>
        <v>82.668106312292323</v>
      </c>
      <c r="I668" s="11">
        <v>2000</v>
      </c>
      <c r="K668" s="11">
        <v>-1173</v>
      </c>
    </row>
    <row r="669" spans="1:11">
      <c r="A669" s="7">
        <v>44498</v>
      </c>
      <c r="B669" s="8">
        <v>79.205662934329453</v>
      </c>
      <c r="E669" s="8">
        <v>79.8</v>
      </c>
      <c r="F669" s="10">
        <f>AVERAGE($E$368:E669)</f>
        <v>82.658609271523133</v>
      </c>
      <c r="I669" s="11">
        <v>1814</v>
      </c>
      <c r="K669" s="11">
        <v>-637</v>
      </c>
    </row>
    <row r="670" spans="1:11">
      <c r="A670" s="7">
        <v>44499</v>
      </c>
      <c r="B670" s="8">
        <v>79.106489380610441</v>
      </c>
      <c r="E670" s="8">
        <v>80.099999999999994</v>
      </c>
      <c r="F670" s="10">
        <f>AVERAGE($E$368:E670)</f>
        <v>82.650165016501603</v>
      </c>
      <c r="I670" s="11">
        <v>2552</v>
      </c>
      <c r="K670" s="11">
        <v>-1519</v>
      </c>
    </row>
    <row r="671" spans="1:11">
      <c r="A671" s="7">
        <v>44500</v>
      </c>
      <c r="B671" s="8">
        <v>79.007315826891428</v>
      </c>
      <c r="E671" s="8">
        <v>80.400000000000006</v>
      </c>
      <c r="F671" s="10">
        <f>AVERAGE($E$368:E671)</f>
        <v>82.642763157894692</v>
      </c>
      <c r="I671" s="11">
        <v>3101</v>
      </c>
      <c r="K671" s="11">
        <v>-2008</v>
      </c>
    </row>
    <row r="672" spans="1:11">
      <c r="A672" s="7">
        <v>44501</v>
      </c>
      <c r="B672" s="8">
        <v>78.908142273172416</v>
      </c>
      <c r="E672" s="8">
        <v>80.7</v>
      </c>
      <c r="F672" s="10">
        <f>AVERAGE($E$368:E672)</f>
        <v>82.636393442622904</v>
      </c>
      <c r="I672" s="11">
        <v>3074</v>
      </c>
      <c r="K672" s="11">
        <v>-3904</v>
      </c>
    </row>
    <row r="673" spans="1:11">
      <c r="A673" s="7">
        <v>44502</v>
      </c>
      <c r="B673" s="8">
        <v>78.808968719453404</v>
      </c>
      <c r="E673" s="8">
        <v>79.3</v>
      </c>
      <c r="F673" s="10">
        <f>AVERAGE($E$368:E673)</f>
        <v>82.625490196078388</v>
      </c>
      <c r="I673" s="11">
        <v>3061</v>
      </c>
      <c r="K673" s="11">
        <v>-612</v>
      </c>
    </row>
    <row r="674" spans="1:11">
      <c r="A674" s="7">
        <v>44503</v>
      </c>
      <c r="B674" s="8">
        <v>78.709795165734391</v>
      </c>
      <c r="E674" s="8">
        <v>80.599999999999994</v>
      </c>
      <c r="F674" s="10">
        <f>AVERAGE($E$368:E674)</f>
        <v>82.618892508143276</v>
      </c>
      <c r="I674" s="11">
        <v>1880</v>
      </c>
      <c r="K674" s="11">
        <v>-571</v>
      </c>
    </row>
    <row r="675" spans="1:11">
      <c r="A675" s="7">
        <v>44504</v>
      </c>
      <c r="B675" s="8">
        <v>78.610621612015379</v>
      </c>
      <c r="E675" s="8">
        <v>80.900000000000006</v>
      </c>
      <c r="F675" s="10">
        <f>AVERAGE($E$368:E675)</f>
        <v>82.61331168831164</v>
      </c>
      <c r="I675" s="11">
        <v>2366</v>
      </c>
      <c r="K675" s="11">
        <v>-1110</v>
      </c>
    </row>
    <row r="676" spans="1:11">
      <c r="A676" s="7">
        <v>44505</v>
      </c>
      <c r="B676" s="8">
        <v>78.511448058296367</v>
      </c>
      <c r="E676" s="8">
        <v>80.900000000000006</v>
      </c>
      <c r="F676" s="10">
        <f>AVERAGE($E$368:E676)</f>
        <v>82.607766990291225</v>
      </c>
      <c r="I676" s="11">
        <v>2570</v>
      </c>
      <c r="K676" s="11">
        <v>-674</v>
      </c>
    </row>
    <row r="677" spans="1:11">
      <c r="A677" s="7">
        <v>44506</v>
      </c>
      <c r="B677" s="8">
        <v>78.412274504577354</v>
      </c>
      <c r="E677" s="8">
        <v>80.8</v>
      </c>
      <c r="F677" s="10">
        <f>AVERAGE($E$368:E677)</f>
        <v>82.601935483870932</v>
      </c>
      <c r="I677" s="11">
        <v>2748</v>
      </c>
      <c r="K677" s="11">
        <v>-1209</v>
      </c>
    </row>
    <row r="678" spans="1:11">
      <c r="A678" s="7">
        <v>44507</v>
      </c>
      <c r="B678" s="8">
        <v>78.313100950858342</v>
      </c>
      <c r="E678" s="8">
        <v>81.5</v>
      </c>
      <c r="F678" s="10">
        <f>AVERAGE($E$368:E678)</f>
        <v>82.598392282958159</v>
      </c>
      <c r="I678" s="11">
        <v>2603</v>
      </c>
      <c r="K678" s="11">
        <v>-607</v>
      </c>
    </row>
    <row r="679" spans="1:11">
      <c r="A679" s="7">
        <v>44508</v>
      </c>
      <c r="B679" s="8">
        <v>78.213927397139329</v>
      </c>
      <c r="E679" s="8">
        <v>82.2</v>
      </c>
      <c r="F679" s="10">
        <f>AVERAGE($E$368:E679)</f>
        <v>82.59711538461535</v>
      </c>
      <c r="I679" s="11">
        <v>1610</v>
      </c>
      <c r="K679" s="11">
        <v>-601</v>
      </c>
    </row>
    <row r="680" spans="1:11">
      <c r="A680" s="7">
        <v>44509</v>
      </c>
      <c r="B680" s="8">
        <v>78.114753843420317</v>
      </c>
      <c r="E680" s="8">
        <v>80.7</v>
      </c>
      <c r="F680" s="10">
        <f>AVERAGE($E$368:E680)</f>
        <v>82.591054313099008</v>
      </c>
      <c r="I680" s="11">
        <v>1796</v>
      </c>
      <c r="K680" s="11">
        <v>-747</v>
      </c>
    </row>
    <row r="681" spans="1:11">
      <c r="A681" s="7">
        <v>44510</v>
      </c>
      <c r="B681" s="8">
        <v>78.015580289701305</v>
      </c>
      <c r="E681" s="8">
        <v>80.2</v>
      </c>
      <c r="F681" s="10">
        <f>AVERAGE($E$368:E681)</f>
        <v>82.583439490445826</v>
      </c>
      <c r="I681" s="11">
        <v>1497</v>
      </c>
      <c r="K681" s="11">
        <v>-613</v>
      </c>
    </row>
    <row r="682" spans="1:11">
      <c r="A682" s="7">
        <v>44511</v>
      </c>
      <c r="B682" s="8">
        <v>77.916406735982292</v>
      </c>
      <c r="E682" s="8">
        <v>80.3</v>
      </c>
      <c r="F682" s="10">
        <f>AVERAGE($E$368:E682)</f>
        <v>82.576190476190447</v>
      </c>
      <c r="I682" s="11">
        <v>2971</v>
      </c>
      <c r="K682" s="11">
        <v>-1193</v>
      </c>
    </row>
    <row r="683" spans="1:11">
      <c r="A683" s="7">
        <v>44512</v>
      </c>
      <c r="B683" s="8">
        <v>77.81723318226328</v>
      </c>
      <c r="E683" s="8">
        <v>81.8</v>
      </c>
      <c r="F683" s="10">
        <f>AVERAGE($E$368:E683)</f>
        <v>82.573734177215158</v>
      </c>
      <c r="I683" s="11">
        <v>3248</v>
      </c>
      <c r="K683" s="11">
        <v>-1065</v>
      </c>
    </row>
    <row r="684" spans="1:11">
      <c r="A684" s="7">
        <v>44513</v>
      </c>
      <c r="B684" s="8">
        <v>77.718059628544268</v>
      </c>
      <c r="E684" s="8">
        <v>81.7</v>
      </c>
      <c r="F684" s="10">
        <f>AVERAGE($E$368:E684)</f>
        <v>82.57097791798104</v>
      </c>
      <c r="I684" s="11">
        <v>3396</v>
      </c>
      <c r="K684" s="11">
        <v>-767</v>
      </c>
    </row>
    <row r="685" spans="1:11">
      <c r="A685" s="7">
        <v>44514</v>
      </c>
      <c r="B685" s="8">
        <v>77.618886074825255</v>
      </c>
      <c r="E685" s="8">
        <v>83.2</v>
      </c>
      <c r="F685" s="10">
        <f>AVERAGE($E$368:E685)</f>
        <v>82.572955974842742</v>
      </c>
      <c r="I685" s="11">
        <v>3200</v>
      </c>
      <c r="K685" s="11">
        <v>-596</v>
      </c>
    </row>
    <row r="686" spans="1:11">
      <c r="A686" s="7">
        <v>44515</v>
      </c>
      <c r="B686" s="8">
        <v>77.519712521106243</v>
      </c>
      <c r="E686" s="8">
        <v>85.1</v>
      </c>
      <c r="F686" s="10">
        <f>AVERAGE($E$368:E686)</f>
        <v>82.580877742946669</v>
      </c>
      <c r="I686" s="11">
        <v>2227</v>
      </c>
      <c r="K686" s="11">
        <v>-1022</v>
      </c>
    </row>
    <row r="687" spans="1:11">
      <c r="A687" s="7">
        <v>44516</v>
      </c>
      <c r="B687" s="8">
        <v>77.42053896738723</v>
      </c>
      <c r="E687" s="8">
        <v>82.1</v>
      </c>
      <c r="F687" s="10">
        <f>AVERAGE($E$368:E687)</f>
        <v>82.579374999999956</v>
      </c>
      <c r="I687" s="11">
        <v>2075</v>
      </c>
      <c r="K687" s="11">
        <v>-790</v>
      </c>
    </row>
    <row r="688" spans="1:11">
      <c r="A688" s="7">
        <v>44517</v>
      </c>
      <c r="B688" s="8">
        <v>77.321365413668218</v>
      </c>
      <c r="E688" s="8">
        <v>81.5</v>
      </c>
      <c r="F688" s="10">
        <f>AVERAGE($E$368:E688)</f>
        <v>82.57601246105915</v>
      </c>
      <c r="I688" s="11">
        <v>2333</v>
      </c>
      <c r="K688" s="11">
        <v>-1146</v>
      </c>
    </row>
    <row r="689" spans="1:11">
      <c r="A689" s="7">
        <v>44518</v>
      </c>
      <c r="B689" s="8">
        <v>77.222191859949206</v>
      </c>
      <c r="E689" s="8">
        <v>80.900000000000006</v>
      </c>
      <c r="F689" s="10">
        <f>AVERAGE($E$368:E689)</f>
        <v>82.570807453416109</v>
      </c>
      <c r="I689" s="11">
        <v>2121</v>
      </c>
      <c r="K689" s="11">
        <v>-581</v>
      </c>
    </row>
    <row r="690" spans="1:11">
      <c r="A690" s="7">
        <v>44519</v>
      </c>
      <c r="B690" s="8">
        <v>77.123018306230193</v>
      </c>
      <c r="E690" s="8">
        <v>80.8</v>
      </c>
      <c r="F690" s="10">
        <f>AVERAGE($E$368:E690)</f>
        <v>82.565325077399336</v>
      </c>
      <c r="I690" s="11">
        <v>2165</v>
      </c>
      <c r="K690" s="11">
        <v>-759</v>
      </c>
    </row>
    <row r="691" spans="1:11">
      <c r="A691" s="7">
        <v>44520</v>
      </c>
      <c r="B691" s="8">
        <v>77.023844752511181</v>
      </c>
      <c r="E691" s="8">
        <v>81.2</v>
      </c>
      <c r="F691" s="10">
        <f>AVERAGE($E$368:E691)</f>
        <v>82.561111111111074</v>
      </c>
      <c r="I691" s="11">
        <v>2829</v>
      </c>
      <c r="K691" s="11">
        <v>-830</v>
      </c>
    </row>
    <row r="692" spans="1:11">
      <c r="A692" s="7">
        <v>44521</v>
      </c>
      <c r="B692" s="8">
        <v>76.924671198792169</v>
      </c>
      <c r="E692" s="8">
        <v>82.2</v>
      </c>
      <c r="F692" s="10">
        <f>AVERAGE($E$368:E692)</f>
        <v>82.55999999999996</v>
      </c>
      <c r="I692" s="11">
        <v>3056</v>
      </c>
      <c r="K692" s="11">
        <v>-1072</v>
      </c>
    </row>
    <row r="693" spans="1:11">
      <c r="A693" s="7">
        <v>44522</v>
      </c>
      <c r="B693" s="8">
        <v>76.825497645073156</v>
      </c>
      <c r="E693" s="8">
        <v>82.3</v>
      </c>
      <c r="F693" s="10">
        <f>AVERAGE($E$368:E693)</f>
        <v>82.559202453987695</v>
      </c>
      <c r="I693" s="11">
        <v>1770</v>
      </c>
      <c r="K693" s="11">
        <v>-847</v>
      </c>
    </row>
    <row r="694" spans="1:11">
      <c r="A694" s="7">
        <v>44523</v>
      </c>
      <c r="B694" s="8">
        <v>76.726324091354144</v>
      </c>
      <c r="E694" s="8">
        <v>81.099999999999994</v>
      </c>
      <c r="F694" s="10">
        <f>AVERAGE($E$368:E694)</f>
        <v>82.554740061162036</v>
      </c>
      <c r="I694" s="11">
        <v>2565</v>
      </c>
      <c r="K694" s="11">
        <v>-761</v>
      </c>
    </row>
    <row r="695" spans="1:11">
      <c r="A695" s="7">
        <v>44524</v>
      </c>
      <c r="B695" s="8">
        <v>76.627150537635131</v>
      </c>
      <c r="E695" s="8">
        <v>81.7</v>
      </c>
      <c r="F695" s="10">
        <f>AVERAGE($E$368:E695)</f>
        <v>82.55213414634143</v>
      </c>
      <c r="I695" s="11">
        <v>1994</v>
      </c>
      <c r="K695" s="11">
        <v>-1131</v>
      </c>
    </row>
    <row r="696" spans="1:11">
      <c r="A696" s="7">
        <v>44525</v>
      </c>
      <c r="B696" s="8">
        <v>76.527976983916119</v>
      </c>
      <c r="E696" s="8">
        <v>81.2</v>
      </c>
      <c r="F696" s="10">
        <f>AVERAGE($E$368:E696)</f>
        <v>82.548024316109391</v>
      </c>
      <c r="I696" s="11">
        <v>1758</v>
      </c>
      <c r="K696" s="11">
        <v>-747</v>
      </c>
    </row>
    <row r="697" spans="1:11">
      <c r="A697" s="7">
        <v>44526</v>
      </c>
      <c r="B697" s="8">
        <v>76.428803430197107</v>
      </c>
      <c r="E697" s="8">
        <v>80.900000000000006</v>
      </c>
      <c r="F697" s="10">
        <f>AVERAGE($E$368:E697)</f>
        <v>82.543030303030278</v>
      </c>
      <c r="I697" s="11">
        <v>1688</v>
      </c>
      <c r="K697" s="11">
        <v>-970</v>
      </c>
    </row>
    <row r="698" spans="1:11">
      <c r="A698" s="7">
        <v>44527</v>
      </c>
      <c r="B698" s="8">
        <v>76.329629876478094</v>
      </c>
      <c r="E698" s="8">
        <v>79.900000000000006</v>
      </c>
      <c r="F698" s="10">
        <f>AVERAGE($E$368:E698)</f>
        <v>82.535045317220522</v>
      </c>
      <c r="I698" s="11">
        <v>2351</v>
      </c>
      <c r="K698" s="11">
        <v>-701</v>
      </c>
    </row>
    <row r="699" spans="1:11">
      <c r="A699" s="7">
        <v>44528</v>
      </c>
      <c r="B699" s="8">
        <v>76.230456322759082</v>
      </c>
      <c r="E699" s="8">
        <v>80.599999999999994</v>
      </c>
      <c r="F699" s="10">
        <f>AVERAGE($E$368:E699)</f>
        <v>82.529216867469856</v>
      </c>
      <c r="I699" s="11">
        <v>2450</v>
      </c>
      <c r="K699" s="11">
        <v>-803</v>
      </c>
    </row>
    <row r="700" spans="1:11">
      <c r="A700" s="7">
        <v>44529</v>
      </c>
      <c r="B700" s="8">
        <v>76.13128276904007</v>
      </c>
      <c r="E700" s="8">
        <v>81.5</v>
      </c>
      <c r="F700" s="10">
        <f>AVERAGE($E$368:E700)</f>
        <v>82.526126126126101</v>
      </c>
      <c r="I700" s="11">
        <v>2608</v>
      </c>
      <c r="K700" s="11">
        <v>-814</v>
      </c>
    </row>
    <row r="701" spans="1:11">
      <c r="A701" s="7">
        <v>44530</v>
      </c>
      <c r="B701" s="8">
        <v>76.032109215321057</v>
      </c>
      <c r="E701" s="8">
        <v>80.5</v>
      </c>
      <c r="F701" s="10">
        <f>AVERAGE($E$368:E701)</f>
        <v>82.520059880239486</v>
      </c>
      <c r="I701" s="11">
        <v>2046</v>
      </c>
      <c r="K701" s="11">
        <v>-970</v>
      </c>
    </row>
    <row r="702" spans="1:11">
      <c r="A702" s="7">
        <v>44531</v>
      </c>
      <c r="B702" s="8">
        <v>78.999877810362378</v>
      </c>
      <c r="E702" s="8">
        <v>80.3</v>
      </c>
      <c r="F702" s="10">
        <f>AVERAGE($E$368:E702)</f>
        <v>82.513432835820865</v>
      </c>
      <c r="I702" s="11">
        <v>2397</v>
      </c>
      <c r="K702" s="11">
        <v>-845</v>
      </c>
    </row>
    <row r="703" spans="1:11">
      <c r="A703" s="7">
        <v>44532</v>
      </c>
      <c r="B703" s="8">
        <v>78.867646405403704</v>
      </c>
      <c r="E703" s="8">
        <v>80.400000000000006</v>
      </c>
      <c r="F703" s="10">
        <f>AVERAGE($E$368:E703)</f>
        <v>82.507142857142824</v>
      </c>
      <c r="I703" s="11">
        <v>2297</v>
      </c>
      <c r="K703" s="11">
        <v>-742</v>
      </c>
    </row>
    <row r="704" spans="1:11">
      <c r="A704" s="7">
        <v>44533</v>
      </c>
      <c r="B704" s="8">
        <v>78.73541500044503</v>
      </c>
      <c r="E704" s="8">
        <v>81.400000000000006</v>
      </c>
      <c r="F704" s="10">
        <f>AVERAGE($E$368:E704)</f>
        <v>82.503857566765561</v>
      </c>
      <c r="I704" s="11">
        <v>2283</v>
      </c>
      <c r="K704" s="11">
        <v>-890</v>
      </c>
    </row>
    <row r="705" spans="1:11">
      <c r="A705" s="7">
        <v>44534</v>
      </c>
      <c r="B705" s="8">
        <v>78.603183595486357</v>
      </c>
      <c r="E705" s="8">
        <v>81.3</v>
      </c>
      <c r="F705" s="10">
        <f>AVERAGE($E$368:E705)</f>
        <v>82.500295857988135</v>
      </c>
      <c r="I705" s="11">
        <v>2407</v>
      </c>
      <c r="K705" s="11">
        <v>-1379</v>
      </c>
    </row>
    <row r="706" spans="1:11">
      <c r="A706" s="7">
        <v>44535</v>
      </c>
      <c r="B706" s="8">
        <v>78.470952190527683</v>
      </c>
      <c r="E706" s="8">
        <v>81.7</v>
      </c>
      <c r="F706" s="10">
        <f>AVERAGE($E$368:E706)</f>
        <v>82.497935103244814</v>
      </c>
      <c r="I706" s="11">
        <v>2688</v>
      </c>
      <c r="K706" s="11">
        <v>-1035</v>
      </c>
    </row>
    <row r="707" spans="1:11">
      <c r="A707" s="7">
        <v>44536</v>
      </c>
      <c r="B707" s="8">
        <v>78.338720785569009</v>
      </c>
      <c r="E707" s="8">
        <v>82</v>
      </c>
      <c r="F707" s="10">
        <f>AVERAGE($E$368:E707)</f>
        <v>82.496470588235269</v>
      </c>
      <c r="I707" s="11">
        <v>1668</v>
      </c>
      <c r="K707" s="11">
        <v>-703</v>
      </c>
    </row>
    <row r="708" spans="1:11">
      <c r="A708" s="7">
        <v>44537</v>
      </c>
      <c r="B708" s="8">
        <v>78.206489380610336</v>
      </c>
      <c r="E708" s="8">
        <v>81.400000000000006</v>
      </c>
      <c r="F708" s="10">
        <f>AVERAGE($E$368:E708)</f>
        <v>82.493255131964787</v>
      </c>
      <c r="I708" s="11">
        <v>2709</v>
      </c>
      <c r="K708" s="11">
        <v>-691</v>
      </c>
    </row>
    <row r="709" spans="1:11">
      <c r="A709" s="7">
        <v>44538</v>
      </c>
      <c r="B709" s="8">
        <v>78.074257975651662</v>
      </c>
      <c r="E709" s="8">
        <v>82.1</v>
      </c>
      <c r="F709" s="10">
        <f>AVERAGE($E$368:E709)</f>
        <v>82.492105263157868</v>
      </c>
      <c r="I709" s="11">
        <v>2386</v>
      </c>
      <c r="K709" s="11">
        <v>-806</v>
      </c>
    </row>
    <row r="710" spans="1:11">
      <c r="A710" s="7">
        <v>44539</v>
      </c>
      <c r="B710" s="8">
        <v>77.942026570692988</v>
      </c>
      <c r="E710" s="8">
        <v>81.7</v>
      </c>
      <c r="F710" s="10">
        <f>AVERAGE($E$368:E710)</f>
        <v>82.489795918367321</v>
      </c>
      <c r="I710" s="11">
        <v>1975</v>
      </c>
      <c r="K710" s="11">
        <v>-503</v>
      </c>
    </row>
    <row r="711" spans="1:11">
      <c r="A711" s="7">
        <v>44540</v>
      </c>
      <c r="B711" s="8">
        <v>77.809795165734315</v>
      </c>
      <c r="E711" s="8">
        <v>80.599999999999994</v>
      </c>
      <c r="F711" s="10">
        <f>AVERAGE($E$368:E711)</f>
        <v>82.484302325581368</v>
      </c>
      <c r="I711" s="11">
        <v>2183</v>
      </c>
      <c r="K711" s="11">
        <v>-1153</v>
      </c>
    </row>
    <row r="712" spans="1:11">
      <c r="A712" s="7">
        <v>44541</v>
      </c>
      <c r="B712" s="8">
        <v>77.677563760775641</v>
      </c>
      <c r="E712" s="8">
        <v>80.3</v>
      </c>
      <c r="F712" s="10">
        <f>AVERAGE($E$368:E712)</f>
        <v>82.477971014492724</v>
      </c>
      <c r="I712" s="11">
        <v>3271</v>
      </c>
      <c r="K712" s="11">
        <v>-798</v>
      </c>
    </row>
    <row r="713" spans="1:11">
      <c r="A713" s="7">
        <v>44542</v>
      </c>
      <c r="B713" s="8">
        <v>77.545332355816967</v>
      </c>
      <c r="E713" s="8">
        <v>81.5</v>
      </c>
      <c r="F713" s="10">
        <f>AVERAGE($E$368:E713)</f>
        <v>82.475144508670496</v>
      </c>
      <c r="I713" s="11">
        <v>1941</v>
      </c>
      <c r="K713" s="11">
        <v>-1402</v>
      </c>
    </row>
    <row r="714" spans="1:11">
      <c r="A714" s="7">
        <v>44543</v>
      </c>
      <c r="B714" s="8">
        <v>77.413100950858293</v>
      </c>
      <c r="E714" s="8">
        <v>81.7</v>
      </c>
      <c r="F714" s="10">
        <f>AVERAGE($E$368:E714)</f>
        <v>82.472910662824177</v>
      </c>
      <c r="I714" s="11">
        <v>1530</v>
      </c>
      <c r="K714" s="11">
        <v>-699</v>
      </c>
    </row>
    <row r="715" spans="1:11">
      <c r="A715" s="7">
        <v>44544</v>
      </c>
      <c r="B715" s="8">
        <v>77.28086954589962</v>
      </c>
      <c r="E715" s="8">
        <v>81.099999999999994</v>
      </c>
      <c r="F715" s="10">
        <f>AVERAGE($E$368:E715)</f>
        <v>82.468965517241344</v>
      </c>
      <c r="I715" s="11">
        <v>1649</v>
      </c>
      <c r="K715" s="11">
        <v>-656</v>
      </c>
    </row>
    <row r="716" spans="1:11">
      <c r="A716" s="7">
        <v>44545</v>
      </c>
      <c r="B716" s="8">
        <v>77.148638140940946</v>
      </c>
      <c r="E716" s="8">
        <v>81.400000000000006</v>
      </c>
      <c r="F716" s="10">
        <f>AVERAGE($E$368:E716)</f>
        <v>82.465902578796531</v>
      </c>
      <c r="I716" s="11">
        <v>2445</v>
      </c>
      <c r="K716" s="11">
        <v>-810</v>
      </c>
    </row>
    <row r="717" spans="1:11">
      <c r="A717" s="7">
        <v>44546</v>
      </c>
      <c r="B717" s="8">
        <v>77.016406735982272</v>
      </c>
      <c r="E717" s="8">
        <v>80.900000000000006</v>
      </c>
      <c r="F717" s="10">
        <f>AVERAGE($E$368:E717)</f>
        <v>82.461428571428556</v>
      </c>
      <c r="I717" s="11">
        <v>2146</v>
      </c>
      <c r="K717" s="11">
        <v>-1246</v>
      </c>
    </row>
    <row r="718" spans="1:11">
      <c r="A718" s="7">
        <v>44547</v>
      </c>
      <c r="B718" s="8">
        <v>76.884175331023599</v>
      </c>
      <c r="E718" s="8">
        <v>80.599999999999994</v>
      </c>
      <c r="F718" s="10">
        <f>AVERAGE($E$368:E718)</f>
        <v>82.456125356125327</v>
      </c>
      <c r="I718" s="11">
        <v>2404</v>
      </c>
      <c r="K718" s="11">
        <v>-570</v>
      </c>
    </row>
    <row r="719" spans="1:11">
      <c r="A719" s="7">
        <v>44548</v>
      </c>
      <c r="B719" s="8">
        <v>76.751943926064925</v>
      </c>
      <c r="E719" s="8">
        <v>80.2</v>
      </c>
      <c r="F719" s="10">
        <f>AVERAGE($E$368:E719)</f>
        <v>82.449715909090884</v>
      </c>
      <c r="I719" s="11">
        <v>2280</v>
      </c>
      <c r="K719" s="11">
        <v>-1074</v>
      </c>
    </row>
    <row r="720" spans="1:11">
      <c r="A720" s="7">
        <v>44549</v>
      </c>
      <c r="B720" s="8">
        <v>76.619712521106251</v>
      </c>
      <c r="E720" s="8">
        <v>81.400000000000006</v>
      </c>
      <c r="F720" s="10">
        <f>AVERAGE($E$368:E720)</f>
        <v>82.446742209631708</v>
      </c>
      <c r="I720" s="11">
        <v>2143</v>
      </c>
      <c r="K720" s="11">
        <v>-1182</v>
      </c>
    </row>
    <row r="721" spans="1:13">
      <c r="A721" s="7">
        <v>44550</v>
      </c>
      <c r="B721" s="8">
        <v>76.487481116147578</v>
      </c>
      <c r="E721" s="8">
        <v>82.1</v>
      </c>
      <c r="F721" s="10">
        <f>AVERAGE($E$368:E721)</f>
        <v>82.44576271186439</v>
      </c>
      <c r="I721" s="11">
        <v>2121</v>
      </c>
      <c r="K721" s="11">
        <v>-620</v>
      </c>
    </row>
    <row r="722" spans="1:13">
      <c r="A722" s="7">
        <v>44551</v>
      </c>
      <c r="B722" s="8">
        <v>76.355249711188904</v>
      </c>
      <c r="E722" s="8">
        <v>81.900000000000006</v>
      </c>
      <c r="F722" s="10">
        <f>AVERAGE($E$368:E722)</f>
        <v>82.444225352112653</v>
      </c>
      <c r="I722" s="11">
        <v>2750</v>
      </c>
      <c r="K722" s="11">
        <v>-784</v>
      </c>
    </row>
    <row r="723" spans="1:13">
      <c r="A723" s="7">
        <v>44552</v>
      </c>
      <c r="B723" s="8">
        <v>76.22301830623023</v>
      </c>
      <c r="E723" s="8">
        <v>82</v>
      </c>
      <c r="F723" s="10">
        <f>AVERAGE($E$368:E723)</f>
        <v>82.44297752808987</v>
      </c>
      <c r="I723" s="11">
        <v>2111</v>
      </c>
      <c r="K723" s="11">
        <v>-777</v>
      </c>
    </row>
    <row r="724" spans="1:13">
      <c r="A724" s="7">
        <v>44553</v>
      </c>
      <c r="B724" s="8">
        <v>76.090786901271557</v>
      </c>
      <c r="E724" s="8">
        <v>81.900000000000006</v>
      </c>
      <c r="F724" s="10">
        <f>AVERAGE($E$368:E724)</f>
        <v>82.441456582633037</v>
      </c>
      <c r="I724" s="11">
        <v>2574</v>
      </c>
      <c r="K724" s="11">
        <v>-1067</v>
      </c>
    </row>
    <row r="725" spans="1:13">
      <c r="A725" s="7">
        <v>44554</v>
      </c>
      <c r="B725" s="8">
        <v>75.958555496312883</v>
      </c>
      <c r="E725" s="8">
        <v>81.400000000000006</v>
      </c>
      <c r="F725" s="10">
        <f>AVERAGE($E$368:E725)</f>
        <v>82.438547486033514</v>
      </c>
      <c r="I725" s="11">
        <v>3731</v>
      </c>
      <c r="K725" s="11">
        <v>-640</v>
      </c>
    </row>
    <row r="726" spans="1:13">
      <c r="A726" s="7">
        <v>44555</v>
      </c>
      <c r="B726" s="8">
        <v>75.826324091354209</v>
      </c>
      <c r="E726" s="8">
        <v>83.2</v>
      </c>
      <c r="F726" s="10">
        <f>AVERAGE($E$368:E726)</f>
        <v>82.440668523676877</v>
      </c>
      <c r="I726" s="11">
        <v>3887</v>
      </c>
      <c r="K726" s="11">
        <v>-610</v>
      </c>
    </row>
    <row r="727" spans="1:13">
      <c r="A727" s="7">
        <v>44556</v>
      </c>
      <c r="B727" s="8">
        <v>75.694092686395535</v>
      </c>
      <c r="E727" s="8">
        <v>83.7</v>
      </c>
      <c r="F727" s="10">
        <f>AVERAGE($E$368:E727)</f>
        <v>82.444166666666661</v>
      </c>
      <c r="I727" s="11">
        <v>4463</v>
      </c>
      <c r="K727" s="11">
        <v>-1166</v>
      </c>
    </row>
    <row r="728" spans="1:13">
      <c r="A728" s="7">
        <v>44557</v>
      </c>
      <c r="B728" s="8">
        <v>75.561861281436862</v>
      </c>
      <c r="E728" s="8">
        <v>84.7</v>
      </c>
      <c r="F728" s="10">
        <f>AVERAGE($E$368:E728)</f>
        <v>82.450415512465369</v>
      </c>
      <c r="I728" s="11">
        <v>2208</v>
      </c>
      <c r="K728" s="11">
        <v>-1226</v>
      </c>
    </row>
    <row r="729" spans="1:13">
      <c r="A729" s="7">
        <v>44558</v>
      </c>
      <c r="B729" s="8">
        <v>75.429629876478188</v>
      </c>
      <c r="E729" s="8">
        <v>82.6</v>
      </c>
      <c r="F729" s="10">
        <f>AVERAGE($E$368:E729)</f>
        <v>82.450828729281767</v>
      </c>
      <c r="I729" s="11">
        <v>2552</v>
      </c>
      <c r="K729" s="11">
        <v>-761</v>
      </c>
    </row>
    <row r="730" spans="1:13">
      <c r="A730" s="7">
        <v>44559</v>
      </c>
      <c r="B730" s="8">
        <v>75.297398471519514</v>
      </c>
      <c r="E730" s="8">
        <v>82.8</v>
      </c>
      <c r="F730" s="10">
        <f>AVERAGE($E$368:E730)</f>
        <v>82.451790633608809</v>
      </c>
      <c r="I730" s="11">
        <v>2628</v>
      </c>
      <c r="K730" s="11">
        <v>-1058</v>
      </c>
    </row>
    <row r="731" spans="1:13">
      <c r="A731" s="7">
        <v>44560</v>
      </c>
      <c r="B731" s="8">
        <v>75.165167066560841</v>
      </c>
      <c r="E731" s="8">
        <v>83.3</v>
      </c>
      <c r="F731" s="10">
        <f>AVERAGE($E$368:E731)</f>
        <v>82.454120879120865</v>
      </c>
      <c r="I731" s="11">
        <v>4150</v>
      </c>
      <c r="K731" s="11">
        <v>-970</v>
      </c>
    </row>
    <row r="732" spans="1:13">
      <c r="A732" s="7">
        <v>44561</v>
      </c>
      <c r="B732" s="8">
        <v>75.032935661602167</v>
      </c>
      <c r="E732" s="8">
        <v>85.5</v>
      </c>
      <c r="F732" s="10">
        <f>AVERAGE($E$368:E732)</f>
        <v>82.462465753424652</v>
      </c>
      <c r="I732" s="11">
        <v>4723</v>
      </c>
      <c r="K732" s="11">
        <v>-786</v>
      </c>
    </row>
    <row r="733" spans="1:13">
      <c r="A733" s="7">
        <v>44562</v>
      </c>
      <c r="B733" s="8">
        <v>81</v>
      </c>
      <c r="E733" s="8">
        <v>86.3</v>
      </c>
      <c r="F733" s="10">
        <f>AVERAGE($E$733:E733)</f>
        <v>86.3</v>
      </c>
      <c r="I733" s="11">
        <v>1674</v>
      </c>
      <c r="J733" s="11">
        <v>-1900</v>
      </c>
      <c r="K733" s="11">
        <v>-1103</v>
      </c>
      <c r="L733" s="11">
        <f>SUM(J733:K733)</f>
        <v>-3003</v>
      </c>
      <c r="M733" s="11">
        <f>I733+J733+K733</f>
        <v>-1329</v>
      </c>
    </row>
    <row r="734" spans="1:13">
      <c r="A734" s="7">
        <v>44563</v>
      </c>
      <c r="B734" s="8">
        <v>80.933884297520663</v>
      </c>
      <c r="E734" s="8">
        <v>86.1</v>
      </c>
      <c r="F734" s="10">
        <f>AVERAGE($E$733:E734)</f>
        <v>86.199999999999989</v>
      </c>
      <c r="I734" s="11">
        <v>1717</v>
      </c>
      <c r="J734" s="11">
        <v>-1900</v>
      </c>
      <c r="K734" s="11">
        <v>-181</v>
      </c>
      <c r="L734" s="11">
        <f t="shared" ref="L734:L797" si="12">SUM(J734:K734)</f>
        <v>-2081</v>
      </c>
      <c r="M734" s="11">
        <f t="shared" ref="M734:M797" si="13">I734+J734+K734</f>
        <v>-364</v>
      </c>
    </row>
    <row r="735" spans="1:13">
      <c r="A735" s="7">
        <v>44564</v>
      </c>
      <c r="B735" s="8">
        <v>80.867768595041326</v>
      </c>
      <c r="E735" s="8">
        <v>85.6</v>
      </c>
      <c r="F735" s="10">
        <f>AVERAGE($E$733:E735)</f>
        <v>86</v>
      </c>
      <c r="I735" s="11">
        <v>1540</v>
      </c>
      <c r="J735" s="11">
        <v>-1900</v>
      </c>
      <c r="K735" s="11">
        <v>-1297</v>
      </c>
      <c r="L735" s="11">
        <f t="shared" si="12"/>
        <v>-3197</v>
      </c>
      <c r="M735" s="11">
        <f t="shared" si="13"/>
        <v>-1657</v>
      </c>
    </row>
    <row r="736" spans="1:13">
      <c r="A736" s="7">
        <v>44565</v>
      </c>
      <c r="B736" s="8">
        <v>80.801652892561989</v>
      </c>
      <c r="E736" s="8">
        <v>84.1</v>
      </c>
      <c r="F736" s="10">
        <f>AVERAGE($E$733:E736)</f>
        <v>85.525000000000006</v>
      </c>
      <c r="I736" s="11">
        <v>1816</v>
      </c>
      <c r="J736" s="11">
        <v>-1900</v>
      </c>
      <c r="K736" s="11">
        <v>-972</v>
      </c>
      <c r="L736" s="11">
        <f t="shared" si="12"/>
        <v>-2872</v>
      </c>
      <c r="M736" s="11">
        <f t="shared" si="13"/>
        <v>-1056</v>
      </c>
    </row>
    <row r="737" spans="1:13">
      <c r="A737" s="7">
        <v>44566</v>
      </c>
      <c r="B737" s="8">
        <v>80.735537190082653</v>
      </c>
      <c r="E737" s="8">
        <v>83.2</v>
      </c>
      <c r="F737" s="10">
        <f>AVERAGE($E$733:E737)</f>
        <v>85.06</v>
      </c>
      <c r="I737" s="11">
        <v>1454</v>
      </c>
      <c r="J737" s="11">
        <v>-1900</v>
      </c>
      <c r="K737" s="11">
        <v>-728</v>
      </c>
      <c r="L737" s="11">
        <f t="shared" si="12"/>
        <v>-2628</v>
      </c>
      <c r="M737" s="11">
        <f t="shared" si="13"/>
        <v>-1174</v>
      </c>
    </row>
    <row r="738" spans="1:13">
      <c r="A738" s="7">
        <v>44567</v>
      </c>
      <c r="B738" s="8">
        <v>80.669421487603316</v>
      </c>
      <c r="E738" s="8">
        <v>82.5</v>
      </c>
      <c r="F738" s="10">
        <f>AVERAGE($E$733:E738)</f>
        <v>84.63333333333334</v>
      </c>
      <c r="I738" s="11">
        <v>2704</v>
      </c>
      <c r="J738" s="11">
        <v>-1900</v>
      </c>
      <c r="K738" s="11">
        <v>-983</v>
      </c>
      <c r="L738" s="11">
        <f t="shared" si="12"/>
        <v>-2883</v>
      </c>
      <c r="M738" s="11">
        <f t="shared" si="13"/>
        <v>-179</v>
      </c>
    </row>
    <row r="739" spans="1:13">
      <c r="A739" s="7">
        <v>44568</v>
      </c>
      <c r="B739" s="8">
        <v>80.603305785123979</v>
      </c>
      <c r="E739" s="8">
        <v>84.4</v>
      </c>
      <c r="F739" s="10">
        <f>AVERAGE($E$733:E739)</f>
        <v>84.600000000000009</v>
      </c>
      <c r="I739" s="11">
        <v>3037</v>
      </c>
      <c r="J739" s="11">
        <v>-1900</v>
      </c>
      <c r="K739" s="11">
        <v>-1095</v>
      </c>
      <c r="L739" s="11">
        <f t="shared" si="12"/>
        <v>-2995</v>
      </c>
      <c r="M739" s="11">
        <f t="shared" si="13"/>
        <v>42</v>
      </c>
    </row>
    <row r="740" spans="1:13">
      <c r="A740" s="7">
        <v>44569</v>
      </c>
      <c r="B740" s="8">
        <v>80.537190082644642</v>
      </c>
      <c r="E740" s="8">
        <v>85</v>
      </c>
      <c r="F740" s="10">
        <f>AVERAGE($E$733:E740)</f>
        <v>84.65</v>
      </c>
      <c r="I740" s="11">
        <v>3432</v>
      </c>
      <c r="J740" s="11">
        <v>-1900</v>
      </c>
      <c r="K740" s="11">
        <v>-1283</v>
      </c>
      <c r="L740" s="11">
        <f t="shared" si="12"/>
        <v>-3183</v>
      </c>
      <c r="M740" s="11">
        <f t="shared" si="13"/>
        <v>249</v>
      </c>
    </row>
    <row r="741" spans="1:13">
      <c r="A741" s="7">
        <v>44570</v>
      </c>
      <c r="B741" s="8">
        <v>80.471074380165305</v>
      </c>
      <c r="E741" s="8">
        <v>84.9</v>
      </c>
      <c r="F741" s="10">
        <f>AVERAGE($E$733:E741)</f>
        <v>84.677777777777777</v>
      </c>
      <c r="I741" s="11">
        <v>2629</v>
      </c>
      <c r="J741" s="11">
        <v>-1900</v>
      </c>
      <c r="K741" s="11">
        <v>-912</v>
      </c>
      <c r="L741" s="11">
        <f t="shared" si="12"/>
        <v>-2812</v>
      </c>
      <c r="M741" s="11">
        <f t="shared" si="13"/>
        <v>-183</v>
      </c>
    </row>
    <row r="742" spans="1:13">
      <c r="A742" s="7">
        <v>44571</v>
      </c>
      <c r="B742" s="8">
        <v>80.404958677685968</v>
      </c>
      <c r="E742" s="8">
        <v>84.1</v>
      </c>
      <c r="F742" s="10">
        <f>AVERAGE($E$733:E742)</f>
        <v>84.62</v>
      </c>
      <c r="I742" s="11">
        <v>1719</v>
      </c>
      <c r="J742" s="11">
        <v>-1900</v>
      </c>
      <c r="K742" s="11">
        <v>-1087</v>
      </c>
      <c r="L742" s="11">
        <f t="shared" si="12"/>
        <v>-2987</v>
      </c>
      <c r="M742" s="11">
        <f t="shared" si="13"/>
        <v>-1268</v>
      </c>
    </row>
    <row r="743" spans="1:13">
      <c r="A743" s="7">
        <v>44572</v>
      </c>
      <c r="B743" s="8">
        <v>80.338842975206632</v>
      </c>
      <c r="E743" s="8">
        <v>82.6</v>
      </c>
      <c r="F743" s="10">
        <f>AVERAGE($E$733:E743)</f>
        <v>84.436363636363637</v>
      </c>
      <c r="I743" s="11">
        <v>2086</v>
      </c>
      <c r="J743" s="11">
        <v>-1900</v>
      </c>
      <c r="K743" s="11">
        <v>-754</v>
      </c>
      <c r="L743" s="11">
        <f t="shared" si="12"/>
        <v>-2654</v>
      </c>
      <c r="M743" s="11">
        <f t="shared" si="13"/>
        <v>-568</v>
      </c>
    </row>
    <row r="744" spans="1:13">
      <c r="A744" s="7">
        <v>44573</v>
      </c>
      <c r="B744" s="8">
        <v>80.272727272727295</v>
      </c>
      <c r="E744" s="8">
        <v>83.2</v>
      </c>
      <c r="F744" s="10">
        <f>AVERAGE($E$733:E744)</f>
        <v>84.333333333333343</v>
      </c>
      <c r="I744" s="11">
        <v>1566</v>
      </c>
      <c r="J744" s="11">
        <v>-1900</v>
      </c>
      <c r="K744" s="11">
        <v>-905</v>
      </c>
      <c r="L744" s="11">
        <f t="shared" si="12"/>
        <v>-2805</v>
      </c>
      <c r="M744" s="11">
        <f t="shared" si="13"/>
        <v>-1239</v>
      </c>
    </row>
    <row r="745" spans="1:13">
      <c r="A745" s="7">
        <v>44574</v>
      </c>
      <c r="B745" s="8">
        <v>80.206611570247958</v>
      </c>
      <c r="E745" s="8">
        <v>82.4</v>
      </c>
      <c r="F745" s="10">
        <f>AVERAGE($E$733:E745)</f>
        <v>84.184615384615398</v>
      </c>
      <c r="I745" s="11">
        <v>1688</v>
      </c>
      <c r="J745" s="11">
        <v>-1900</v>
      </c>
      <c r="K745" s="11">
        <v>-612</v>
      </c>
      <c r="L745" s="11">
        <f t="shared" si="12"/>
        <v>-2512</v>
      </c>
      <c r="M745" s="11">
        <f t="shared" si="13"/>
        <v>-824</v>
      </c>
    </row>
    <row r="746" spans="1:13">
      <c r="A746" s="7">
        <v>44575</v>
      </c>
      <c r="B746" s="8">
        <v>80.140495867768621</v>
      </c>
      <c r="E746" s="8">
        <v>82.6</v>
      </c>
      <c r="F746" s="10">
        <f>AVERAGE($E$733:E746)</f>
        <v>84.071428571428569</v>
      </c>
      <c r="I746" s="11">
        <v>1959</v>
      </c>
      <c r="J746" s="11">
        <v>-1900</v>
      </c>
      <c r="K746" s="11">
        <v>-644</v>
      </c>
      <c r="L746" s="11">
        <f t="shared" si="12"/>
        <v>-2544</v>
      </c>
      <c r="M746" s="11">
        <f t="shared" si="13"/>
        <v>-585</v>
      </c>
    </row>
    <row r="747" spans="1:13">
      <c r="A747" s="7">
        <v>44576</v>
      </c>
      <c r="B747" s="8">
        <v>80.074380165289284</v>
      </c>
      <c r="E747" s="8">
        <v>82.6</v>
      </c>
      <c r="F747" s="10">
        <f>AVERAGE($E$733:E747)</f>
        <v>83.973333333333329</v>
      </c>
      <c r="I747" s="11">
        <v>2963</v>
      </c>
      <c r="J747" s="11">
        <v>-1900</v>
      </c>
      <c r="K747" s="11">
        <v>-1262</v>
      </c>
      <c r="L747" s="11">
        <f t="shared" si="12"/>
        <v>-3162</v>
      </c>
      <c r="M747" s="11">
        <f t="shared" si="13"/>
        <v>-199</v>
      </c>
    </row>
    <row r="748" spans="1:13">
      <c r="A748" s="7">
        <v>44577</v>
      </c>
      <c r="B748" s="8">
        <v>80.008264462809947</v>
      </c>
      <c r="E748" s="8">
        <v>84.1</v>
      </c>
      <c r="F748" s="10">
        <f>AVERAGE($E$733:E748)</f>
        <v>83.981249999999989</v>
      </c>
      <c r="I748" s="11">
        <v>3309</v>
      </c>
      <c r="J748" s="11">
        <v>-1900</v>
      </c>
      <c r="K748" s="11">
        <v>-443</v>
      </c>
      <c r="L748" s="11">
        <f t="shared" si="12"/>
        <v>-2343</v>
      </c>
      <c r="M748" s="11">
        <f t="shared" si="13"/>
        <v>966</v>
      </c>
    </row>
    <row r="749" spans="1:13">
      <c r="A749" s="7">
        <v>44578</v>
      </c>
      <c r="B749" s="8">
        <v>79.94214876033061</v>
      </c>
      <c r="E749" s="8">
        <v>84.5</v>
      </c>
      <c r="F749" s="10">
        <f>AVERAGE($E$733:E749)</f>
        <v>84.011764705882342</v>
      </c>
      <c r="I749" s="11">
        <v>1943</v>
      </c>
      <c r="J749" s="11">
        <v>-1900</v>
      </c>
      <c r="K749" s="11">
        <v>-1258</v>
      </c>
      <c r="L749" s="11">
        <f t="shared" si="12"/>
        <v>-3158</v>
      </c>
      <c r="M749" s="11">
        <f t="shared" si="13"/>
        <v>-1215</v>
      </c>
    </row>
    <row r="750" spans="1:13">
      <c r="A750" s="7">
        <v>44579</v>
      </c>
      <c r="B750" s="8">
        <v>79.876033057851274</v>
      </c>
      <c r="E750" s="8">
        <v>82.8</v>
      </c>
      <c r="F750" s="10">
        <f>AVERAGE($E$733:E750)</f>
        <v>83.944444444444429</v>
      </c>
      <c r="I750" s="11">
        <v>1974</v>
      </c>
      <c r="J750" s="11">
        <v>-1900</v>
      </c>
      <c r="K750" s="11">
        <v>-940</v>
      </c>
      <c r="L750" s="11">
        <f t="shared" si="12"/>
        <v>-2840</v>
      </c>
      <c r="M750" s="11">
        <f t="shared" si="13"/>
        <v>-866</v>
      </c>
    </row>
    <row r="751" spans="1:13">
      <c r="A751" s="7">
        <v>44580</v>
      </c>
      <c r="B751" s="8">
        <v>79.809917355371937</v>
      </c>
      <c r="E751" s="8">
        <v>82.6</v>
      </c>
      <c r="F751" s="10">
        <f>AVERAGE($E$733:E751)</f>
        <v>83.873684210526292</v>
      </c>
      <c r="I751" s="11">
        <v>1715</v>
      </c>
      <c r="J751" s="11">
        <v>-1900</v>
      </c>
      <c r="K751" s="11">
        <v>-1236</v>
      </c>
      <c r="L751" s="11">
        <f t="shared" si="12"/>
        <v>-3136</v>
      </c>
      <c r="M751" s="11">
        <f t="shared" si="13"/>
        <v>-1421</v>
      </c>
    </row>
    <row r="752" spans="1:13">
      <c r="A752" s="7">
        <v>44581</v>
      </c>
      <c r="B752" s="8">
        <v>79.7438016528926</v>
      </c>
      <c r="E752" s="8">
        <v>82.3</v>
      </c>
      <c r="F752" s="10">
        <f>AVERAGE($E$733:E752)</f>
        <v>83.794999999999987</v>
      </c>
      <c r="I752" s="11">
        <v>1826</v>
      </c>
      <c r="J752" s="11">
        <v>-1900</v>
      </c>
      <c r="K752" s="11">
        <v>-792</v>
      </c>
      <c r="L752" s="11">
        <f t="shared" si="12"/>
        <v>-2692</v>
      </c>
      <c r="M752" s="11">
        <f t="shared" si="13"/>
        <v>-866</v>
      </c>
    </row>
    <row r="753" spans="1:13">
      <c r="A753" s="7">
        <v>44582</v>
      </c>
      <c r="B753" s="8">
        <v>79.677685950413263</v>
      </c>
      <c r="E753" s="8">
        <v>82.2</v>
      </c>
      <c r="F753" s="10">
        <f>AVERAGE($E$733:E753)</f>
        <v>83.719047619047601</v>
      </c>
      <c r="I753" s="11">
        <v>1842</v>
      </c>
      <c r="J753" s="11">
        <v>-1900</v>
      </c>
      <c r="K753" s="11">
        <v>-1258</v>
      </c>
      <c r="L753" s="11">
        <f t="shared" si="12"/>
        <v>-3158</v>
      </c>
      <c r="M753" s="11">
        <f t="shared" si="13"/>
        <v>-1316</v>
      </c>
    </row>
    <row r="754" spans="1:13">
      <c r="A754" s="7">
        <v>44583</v>
      </c>
      <c r="B754" s="8">
        <v>79.611570247933926</v>
      </c>
      <c r="E754" s="8">
        <v>81</v>
      </c>
      <c r="F754" s="10">
        <f>AVERAGE($E$733:E754)</f>
        <v>83.59545454545453</v>
      </c>
      <c r="I754" s="11">
        <v>3294</v>
      </c>
      <c r="J754" s="11">
        <v>-1900</v>
      </c>
      <c r="K754" s="11">
        <v>-1322</v>
      </c>
      <c r="L754" s="11">
        <f t="shared" si="12"/>
        <v>-3222</v>
      </c>
      <c r="M754" s="11">
        <f t="shared" si="13"/>
        <v>72</v>
      </c>
    </row>
    <row r="755" spans="1:13">
      <c r="A755" s="7">
        <v>44584</v>
      </c>
      <c r="B755" s="8">
        <v>79.545454545454589</v>
      </c>
      <c r="E755" s="8">
        <v>82.9</v>
      </c>
      <c r="F755" s="10">
        <f>AVERAGE($E$733:E755)</f>
        <v>83.565217391304344</v>
      </c>
      <c r="I755" s="11">
        <v>3335</v>
      </c>
      <c r="J755" s="11">
        <v>-1900</v>
      </c>
      <c r="K755" s="11">
        <v>-1263</v>
      </c>
      <c r="L755" s="11">
        <f t="shared" si="12"/>
        <v>-3163</v>
      </c>
      <c r="M755" s="11">
        <f t="shared" si="13"/>
        <v>172</v>
      </c>
    </row>
    <row r="756" spans="1:13">
      <c r="A756" s="7">
        <v>44585</v>
      </c>
      <c r="B756" s="8">
        <v>79.479338842975253</v>
      </c>
      <c r="E756" s="8">
        <v>83.6</v>
      </c>
      <c r="F756" s="10">
        <f>AVERAGE($E$733:E756)</f>
        <v>83.566666666666649</v>
      </c>
      <c r="I756" s="11">
        <v>1788</v>
      </c>
      <c r="J756" s="11">
        <v>-1900</v>
      </c>
      <c r="K756" s="11">
        <v>-1186</v>
      </c>
      <c r="L756" s="11">
        <f t="shared" si="12"/>
        <v>-3086</v>
      </c>
      <c r="M756" s="11">
        <f t="shared" si="13"/>
        <v>-1298</v>
      </c>
    </row>
    <row r="757" spans="1:13">
      <c r="A757" s="7">
        <v>44586</v>
      </c>
      <c r="B757" s="8">
        <v>79.413223140495916</v>
      </c>
      <c r="E757" s="8">
        <v>81.900000000000006</v>
      </c>
      <c r="F757" s="10">
        <f>AVERAGE($E$733:E757)</f>
        <v>83.499999999999986</v>
      </c>
      <c r="I757" s="11">
        <v>2166</v>
      </c>
      <c r="J757" s="11">
        <v>-1900</v>
      </c>
      <c r="K757" s="11">
        <v>-573</v>
      </c>
      <c r="L757" s="11">
        <f t="shared" si="12"/>
        <v>-2473</v>
      </c>
      <c r="M757" s="11">
        <f t="shared" si="13"/>
        <v>-307</v>
      </c>
    </row>
    <row r="758" spans="1:13">
      <c r="A758" s="7">
        <v>44587</v>
      </c>
      <c r="B758" s="8">
        <v>79.347107438016579</v>
      </c>
      <c r="E758" s="8">
        <v>81.900000000000006</v>
      </c>
      <c r="F758" s="10">
        <f>AVERAGE($E$733:E758)</f>
        <v>83.438461538461524</v>
      </c>
      <c r="I758" s="11">
        <v>2005</v>
      </c>
      <c r="J758" s="11">
        <v>-1900</v>
      </c>
      <c r="K758" s="11">
        <v>-595</v>
      </c>
      <c r="L758" s="11">
        <f t="shared" si="12"/>
        <v>-2495</v>
      </c>
      <c r="M758" s="11">
        <f t="shared" si="13"/>
        <v>-490</v>
      </c>
    </row>
    <row r="759" spans="1:13">
      <c r="A759" s="7">
        <v>44588</v>
      </c>
      <c r="B759" s="8">
        <v>79.280991735537242</v>
      </c>
      <c r="E759" s="8">
        <v>82</v>
      </c>
      <c r="F759" s="10">
        <f>AVERAGE($E$733:E759)</f>
        <v>83.385185185185165</v>
      </c>
      <c r="I759" s="11">
        <v>2119</v>
      </c>
      <c r="J759" s="11">
        <v>-1900</v>
      </c>
      <c r="K759" s="11">
        <v>-599</v>
      </c>
      <c r="L759" s="11">
        <f t="shared" si="12"/>
        <v>-2499</v>
      </c>
      <c r="M759" s="11">
        <f t="shared" si="13"/>
        <v>-380</v>
      </c>
    </row>
    <row r="760" spans="1:13">
      <c r="A760" s="7">
        <v>44589</v>
      </c>
      <c r="B760" s="8">
        <v>79.214876033057905</v>
      </c>
      <c r="E760" s="8">
        <v>81.900000000000006</v>
      </c>
      <c r="F760" s="10">
        <f>AVERAGE($E$733:E760)</f>
        <v>83.332142857142841</v>
      </c>
      <c r="I760" s="11">
        <v>2850</v>
      </c>
      <c r="J760" s="11">
        <v>-1900</v>
      </c>
      <c r="K760" s="11">
        <v>-1277</v>
      </c>
      <c r="L760" s="11">
        <f t="shared" si="12"/>
        <v>-3177</v>
      </c>
      <c r="M760" s="11">
        <f t="shared" si="13"/>
        <v>-327</v>
      </c>
    </row>
    <row r="761" spans="1:13">
      <c r="A761" s="7">
        <v>44590</v>
      </c>
      <c r="B761" s="8">
        <v>79.148760330578568</v>
      </c>
      <c r="E761" s="8">
        <v>82.3</v>
      </c>
      <c r="F761" s="10">
        <f>AVERAGE($E$733:E761)</f>
        <v>83.296551724137927</v>
      </c>
      <c r="I761" s="11">
        <v>2564</v>
      </c>
      <c r="J761" s="11">
        <v>-1900</v>
      </c>
      <c r="K761" s="11">
        <v>-915</v>
      </c>
      <c r="L761" s="11">
        <f t="shared" si="12"/>
        <v>-2815</v>
      </c>
      <c r="M761" s="11">
        <f t="shared" si="13"/>
        <v>-251</v>
      </c>
    </row>
    <row r="762" spans="1:13">
      <c r="A762" s="7">
        <v>44591</v>
      </c>
      <c r="B762" s="8">
        <v>79.082644628099231</v>
      </c>
      <c r="E762" s="8">
        <v>82.6</v>
      </c>
      <c r="F762" s="10">
        <f>AVERAGE($E$733:E762)</f>
        <v>83.273333333333326</v>
      </c>
      <c r="I762" s="11">
        <v>2998</v>
      </c>
      <c r="J762" s="11">
        <v>-1900</v>
      </c>
      <c r="K762" s="11">
        <v>-824</v>
      </c>
      <c r="L762" s="11">
        <f t="shared" si="12"/>
        <v>-2724</v>
      </c>
      <c r="M762" s="11">
        <f t="shared" si="13"/>
        <v>274</v>
      </c>
    </row>
    <row r="763" spans="1:13">
      <c r="A763" s="7">
        <v>44592</v>
      </c>
      <c r="B763" s="8">
        <v>79.016528925619895</v>
      </c>
      <c r="E763" s="8">
        <v>83.4</v>
      </c>
      <c r="F763" s="10">
        <f>AVERAGE($E$733:E763)</f>
        <v>83.277419354838713</v>
      </c>
      <c r="I763" s="11">
        <v>2179</v>
      </c>
      <c r="J763" s="11">
        <v>-1900</v>
      </c>
      <c r="K763" s="11">
        <v>-1223</v>
      </c>
      <c r="L763" s="11">
        <f t="shared" si="12"/>
        <v>-3123</v>
      </c>
      <c r="M763" s="11">
        <f t="shared" si="13"/>
        <v>-944</v>
      </c>
    </row>
    <row r="764" spans="1:13">
      <c r="A764" s="7">
        <v>44593</v>
      </c>
      <c r="B764" s="8">
        <v>80.950413223140558</v>
      </c>
      <c r="E764" s="8">
        <v>82.6</v>
      </c>
      <c r="F764" s="10">
        <f>AVERAGE($E$733:E764)</f>
        <v>83.256249999999994</v>
      </c>
      <c r="I764" s="11">
        <v>2256</v>
      </c>
      <c r="J764" s="11">
        <v>-1900</v>
      </c>
      <c r="K764" s="11">
        <v>-664</v>
      </c>
      <c r="L764" s="11">
        <f t="shared" si="12"/>
        <v>-2564</v>
      </c>
      <c r="M764" s="11">
        <f t="shared" si="13"/>
        <v>-308</v>
      </c>
    </row>
    <row r="765" spans="1:13">
      <c r="A765" s="7">
        <v>44594</v>
      </c>
      <c r="B765" s="8">
        <v>80.884297520661221</v>
      </c>
      <c r="E765" s="8">
        <v>82.2</v>
      </c>
      <c r="F765" s="10">
        <f>AVERAGE($E$733:E765)</f>
        <v>83.224242424242419</v>
      </c>
      <c r="I765" s="11">
        <v>2170</v>
      </c>
      <c r="J765" s="11">
        <v>-1900</v>
      </c>
      <c r="K765" s="11">
        <v>-1066</v>
      </c>
      <c r="L765" s="11">
        <f t="shared" si="12"/>
        <v>-2966</v>
      </c>
      <c r="M765" s="11">
        <f t="shared" si="13"/>
        <v>-796</v>
      </c>
    </row>
    <row r="766" spans="1:13">
      <c r="A766" s="7">
        <v>44595</v>
      </c>
      <c r="B766" s="8">
        <v>80.818181818181884</v>
      </c>
      <c r="E766" s="8">
        <v>82.3</v>
      </c>
      <c r="F766" s="10">
        <f>AVERAGE($E$733:E766)</f>
        <v>83.197058823529403</v>
      </c>
      <c r="I766" s="11">
        <v>2866</v>
      </c>
      <c r="J766" s="11">
        <v>-1900</v>
      </c>
      <c r="K766" s="11">
        <v>-933</v>
      </c>
      <c r="L766" s="11">
        <f t="shared" si="12"/>
        <v>-2833</v>
      </c>
      <c r="M766" s="11">
        <f t="shared" si="13"/>
        <v>33</v>
      </c>
    </row>
    <row r="767" spans="1:13">
      <c r="A767" s="7">
        <v>44596</v>
      </c>
      <c r="B767" s="8">
        <v>80.752066115702547</v>
      </c>
      <c r="E767" s="8">
        <v>83.2</v>
      </c>
      <c r="F767" s="10">
        <f>AVERAGE($E$733:E767)</f>
        <v>83.19714285714285</v>
      </c>
      <c r="I767" s="11">
        <v>3209</v>
      </c>
      <c r="J767" s="11">
        <v>-1900</v>
      </c>
      <c r="K767" s="11">
        <v>-1038</v>
      </c>
      <c r="L767" s="11">
        <f t="shared" si="12"/>
        <v>-2938</v>
      </c>
      <c r="M767" s="11">
        <f t="shared" si="13"/>
        <v>271</v>
      </c>
    </row>
    <row r="768" spans="1:13">
      <c r="A768" s="7">
        <v>44597</v>
      </c>
      <c r="B768" s="8">
        <v>80.68595041322321</v>
      </c>
      <c r="E768" s="8">
        <v>85.1</v>
      </c>
      <c r="F768" s="10">
        <f>AVERAGE($E$733:E768)</f>
        <v>83.249999999999986</v>
      </c>
      <c r="I768" s="11">
        <v>2960</v>
      </c>
      <c r="J768" s="11">
        <v>-1900</v>
      </c>
      <c r="K768" s="11">
        <v>-1498</v>
      </c>
      <c r="L768" s="11">
        <f t="shared" si="12"/>
        <v>-3398</v>
      </c>
      <c r="M768" s="11">
        <f t="shared" si="13"/>
        <v>-438</v>
      </c>
    </row>
    <row r="769" spans="1:13">
      <c r="A769" s="7">
        <v>44598</v>
      </c>
      <c r="B769" s="8">
        <v>80.619834710743874</v>
      </c>
      <c r="E769" s="8">
        <v>84.6</v>
      </c>
      <c r="F769" s="10">
        <f>AVERAGE($E$733:E769)</f>
        <v>83.286486486486467</v>
      </c>
      <c r="I769" s="11">
        <v>3305</v>
      </c>
      <c r="J769" s="11">
        <v>-1900</v>
      </c>
      <c r="K769" s="11">
        <v>-1034</v>
      </c>
      <c r="L769" s="11">
        <f t="shared" si="12"/>
        <v>-2934</v>
      </c>
      <c r="M769" s="11">
        <f t="shared" si="13"/>
        <v>371</v>
      </c>
    </row>
    <row r="770" spans="1:13">
      <c r="A770" s="7">
        <v>44599</v>
      </c>
      <c r="B770" s="8">
        <v>80.553719008264537</v>
      </c>
      <c r="E770" s="8">
        <v>84.9</v>
      </c>
      <c r="F770" s="10">
        <f>AVERAGE($E$733:E770)</f>
        <v>83.328947368421041</v>
      </c>
      <c r="I770" s="11">
        <v>1724</v>
      </c>
      <c r="J770" s="11">
        <v>-1900</v>
      </c>
      <c r="K770" s="11">
        <v>-1018</v>
      </c>
      <c r="L770" s="11">
        <f t="shared" si="12"/>
        <v>-2918</v>
      </c>
      <c r="M770" s="11">
        <f t="shared" si="13"/>
        <v>-1194</v>
      </c>
    </row>
    <row r="771" spans="1:13">
      <c r="A771" s="7">
        <v>44600</v>
      </c>
      <c r="B771" s="8">
        <v>80.4876033057852</v>
      </c>
      <c r="E771" s="8">
        <v>83.9</v>
      </c>
      <c r="F771" s="10">
        <f>AVERAGE($E$733:E771)</f>
        <v>83.343589743589732</v>
      </c>
      <c r="I771" s="11">
        <v>2154</v>
      </c>
      <c r="J771" s="11">
        <v>-1900</v>
      </c>
      <c r="K771" s="11">
        <v>-666</v>
      </c>
      <c r="L771" s="11">
        <f t="shared" si="12"/>
        <v>-2566</v>
      </c>
      <c r="M771" s="11">
        <f t="shared" si="13"/>
        <v>-412</v>
      </c>
    </row>
    <row r="772" spans="1:13">
      <c r="A772" s="7">
        <v>44601</v>
      </c>
      <c r="B772" s="8">
        <v>80.421487603305863</v>
      </c>
      <c r="E772" s="8">
        <v>83.5</v>
      </c>
      <c r="F772" s="10">
        <f>AVERAGE($E$733:E772)</f>
        <v>83.347499999999997</v>
      </c>
      <c r="I772" s="11">
        <v>2148</v>
      </c>
      <c r="J772" s="11">
        <v>-1900</v>
      </c>
      <c r="K772" s="11">
        <v>-991</v>
      </c>
      <c r="L772" s="11">
        <f t="shared" si="12"/>
        <v>-2891</v>
      </c>
      <c r="M772" s="11">
        <f t="shared" si="13"/>
        <v>-743</v>
      </c>
    </row>
    <row r="773" spans="1:13">
      <c r="A773" s="7">
        <v>44602</v>
      </c>
      <c r="B773" s="8">
        <v>80.355371900826526</v>
      </c>
      <c r="E773" s="8">
        <v>83.2</v>
      </c>
      <c r="F773" s="10">
        <f>AVERAGE($E$733:E773)</f>
        <v>83.343902439024376</v>
      </c>
      <c r="I773" s="11">
        <v>2085</v>
      </c>
      <c r="J773" s="11">
        <v>-1900</v>
      </c>
      <c r="K773" s="11">
        <v>-763</v>
      </c>
      <c r="L773" s="11">
        <f t="shared" si="12"/>
        <v>-2663</v>
      </c>
      <c r="M773" s="11">
        <f t="shared" si="13"/>
        <v>-578</v>
      </c>
    </row>
    <row r="774" spans="1:13">
      <c r="A774" s="7">
        <v>44603</v>
      </c>
      <c r="B774" s="8">
        <v>80.289256198347189</v>
      </c>
      <c r="E774" s="8">
        <v>83.2</v>
      </c>
      <c r="F774" s="10">
        <f>AVERAGE($E$733:E774)</f>
        <v>83.340476190476167</v>
      </c>
      <c r="I774" s="11">
        <v>2820</v>
      </c>
      <c r="J774" s="11">
        <v>-1900</v>
      </c>
      <c r="K774" s="11">
        <v>-1210</v>
      </c>
      <c r="L774" s="11">
        <f t="shared" si="12"/>
        <v>-3110</v>
      </c>
      <c r="M774" s="11">
        <f t="shared" si="13"/>
        <v>-290</v>
      </c>
    </row>
    <row r="775" spans="1:13">
      <c r="A775" s="7">
        <v>44604</v>
      </c>
      <c r="B775" s="8">
        <v>80.223140495867852</v>
      </c>
      <c r="E775" s="8">
        <v>83.7</v>
      </c>
      <c r="F775" s="10">
        <f>AVERAGE($E$733:E775)</f>
        <v>83.348837209302303</v>
      </c>
      <c r="I775" s="11">
        <v>3348</v>
      </c>
      <c r="J775" s="11">
        <v>-1900</v>
      </c>
      <c r="K775" s="11">
        <v>-1247</v>
      </c>
      <c r="L775" s="11">
        <f t="shared" si="12"/>
        <v>-3147</v>
      </c>
      <c r="M775" s="11">
        <f t="shared" si="13"/>
        <v>201</v>
      </c>
    </row>
    <row r="776" spans="1:13">
      <c r="A776" s="7">
        <v>44605</v>
      </c>
      <c r="B776" s="8">
        <v>80.157024793388516</v>
      </c>
      <c r="E776" s="8">
        <v>84.1</v>
      </c>
      <c r="F776" s="10">
        <f>AVERAGE($E$733:E776)</f>
        <v>83.365909090909071</v>
      </c>
      <c r="I776" s="11">
        <v>2300</v>
      </c>
      <c r="J776" s="11">
        <v>-1900</v>
      </c>
      <c r="K776" s="11">
        <v>-1071</v>
      </c>
      <c r="L776" s="11">
        <f t="shared" si="12"/>
        <v>-2971</v>
      </c>
      <c r="M776" s="11">
        <f t="shared" si="13"/>
        <v>-671</v>
      </c>
    </row>
    <row r="777" spans="1:13">
      <c r="A777" s="7">
        <v>44606</v>
      </c>
      <c r="B777" s="8">
        <v>80.090909090909179</v>
      </c>
      <c r="E777" s="8">
        <v>83.3</v>
      </c>
      <c r="F777" s="10">
        <f>AVERAGE($E$733:E777)</f>
        <v>83.36444444444443</v>
      </c>
      <c r="I777" s="11">
        <v>1856</v>
      </c>
      <c r="J777" s="11">
        <v>-1900</v>
      </c>
      <c r="K777" s="11">
        <v>-1103</v>
      </c>
      <c r="L777" s="11">
        <f t="shared" si="12"/>
        <v>-3003</v>
      </c>
      <c r="M777" s="11">
        <f t="shared" si="13"/>
        <v>-1147</v>
      </c>
    </row>
    <row r="778" spans="1:13">
      <c r="A778" s="7">
        <v>44607</v>
      </c>
      <c r="B778" s="8">
        <v>80.024793388429842</v>
      </c>
      <c r="E778" s="8">
        <v>82.1</v>
      </c>
      <c r="F778" s="10">
        <f>AVERAGE($E$733:E778)</f>
        <v>83.336956521739111</v>
      </c>
      <c r="I778" s="11">
        <v>2784</v>
      </c>
      <c r="J778" s="11">
        <v>-1900</v>
      </c>
      <c r="K778" s="11">
        <v>-449</v>
      </c>
      <c r="L778" s="11">
        <f t="shared" si="12"/>
        <v>-2349</v>
      </c>
      <c r="M778" s="11">
        <f t="shared" si="13"/>
        <v>435</v>
      </c>
    </row>
    <row r="779" spans="1:13">
      <c r="A779" s="7">
        <v>44608</v>
      </c>
      <c r="B779" s="8">
        <v>79.958677685950505</v>
      </c>
      <c r="E779" s="8">
        <v>82</v>
      </c>
      <c r="F779" s="10">
        <f>AVERAGE($E$733:E779)</f>
        <v>83.308510638297847</v>
      </c>
      <c r="I779" s="11">
        <v>2177</v>
      </c>
      <c r="J779" s="11">
        <v>-1900</v>
      </c>
      <c r="K779" s="11">
        <v>-757</v>
      </c>
      <c r="L779" s="11">
        <f t="shared" si="12"/>
        <v>-2657</v>
      </c>
      <c r="M779" s="11">
        <f t="shared" si="13"/>
        <v>-480</v>
      </c>
    </row>
    <row r="780" spans="1:13">
      <c r="A780" s="7">
        <v>44609</v>
      </c>
      <c r="B780" s="8">
        <v>79.892561983471168</v>
      </c>
      <c r="E780" s="8">
        <v>83.3</v>
      </c>
      <c r="F780" s="10">
        <f>AVERAGE($E$733:E780)</f>
        <v>83.308333333333323</v>
      </c>
      <c r="I780" s="11">
        <v>2556</v>
      </c>
      <c r="J780" s="11">
        <v>-1900</v>
      </c>
      <c r="K780" s="11">
        <v>-1012</v>
      </c>
      <c r="L780" s="11">
        <f t="shared" si="12"/>
        <v>-2912</v>
      </c>
      <c r="M780" s="11">
        <f t="shared" si="13"/>
        <v>-356</v>
      </c>
    </row>
    <row r="781" spans="1:13">
      <c r="A781" s="7">
        <v>44610</v>
      </c>
      <c r="B781" s="8">
        <v>79.826446280991831</v>
      </c>
      <c r="E781" s="8">
        <v>83.3</v>
      </c>
      <c r="F781" s="10">
        <f>AVERAGE($E$733:E781)</f>
        <v>83.308163265306106</v>
      </c>
      <c r="I781" s="11">
        <v>3674</v>
      </c>
      <c r="J781" s="11">
        <v>-1900</v>
      </c>
      <c r="K781" s="11">
        <v>-776</v>
      </c>
      <c r="L781" s="11">
        <f t="shared" si="12"/>
        <v>-2676</v>
      </c>
      <c r="M781" s="11">
        <f t="shared" si="13"/>
        <v>998</v>
      </c>
    </row>
    <row r="782" spans="1:13">
      <c r="A782" s="7">
        <v>44611</v>
      </c>
      <c r="B782" s="8">
        <v>79.760330578512495</v>
      </c>
      <c r="E782" s="8">
        <v>83.9</v>
      </c>
      <c r="F782" s="10">
        <f>AVERAGE($E$733:E782)</f>
        <v>83.319999999999979</v>
      </c>
      <c r="I782" s="11">
        <v>2811</v>
      </c>
      <c r="J782" s="11">
        <v>-1900</v>
      </c>
      <c r="K782" s="11">
        <v>-516</v>
      </c>
      <c r="L782" s="11">
        <f t="shared" si="12"/>
        <v>-2416</v>
      </c>
      <c r="M782" s="11">
        <f t="shared" si="13"/>
        <v>395</v>
      </c>
    </row>
    <row r="783" spans="1:13">
      <c r="A783" s="7">
        <v>44612</v>
      </c>
      <c r="B783" s="8">
        <v>79.694214876033158</v>
      </c>
      <c r="E783" s="8">
        <v>85.1</v>
      </c>
      <c r="F783" s="10">
        <f>AVERAGE($E$733:E783)</f>
        <v>83.354901960784304</v>
      </c>
      <c r="I783" s="11">
        <v>2906</v>
      </c>
      <c r="J783" s="11">
        <v>-1900</v>
      </c>
      <c r="K783" s="11">
        <v>-1572</v>
      </c>
      <c r="L783" s="11">
        <f t="shared" si="12"/>
        <v>-3472</v>
      </c>
      <c r="M783" s="11">
        <f t="shared" si="13"/>
        <v>-566</v>
      </c>
    </row>
    <row r="784" spans="1:13">
      <c r="A784" s="7">
        <v>44613</v>
      </c>
      <c r="B784" s="8">
        <v>79.628099173553821</v>
      </c>
      <c r="E784" s="8">
        <v>84.2</v>
      </c>
      <c r="F784" s="10">
        <f>AVERAGE($E$733:E784)</f>
        <v>83.371153846153831</v>
      </c>
      <c r="I784" s="11">
        <v>2916</v>
      </c>
      <c r="J784" s="11">
        <v>-1900</v>
      </c>
      <c r="K784" s="11">
        <v>-994</v>
      </c>
      <c r="L784" s="11">
        <f t="shared" si="12"/>
        <v>-2894</v>
      </c>
      <c r="M784" s="11">
        <f t="shared" si="13"/>
        <v>22</v>
      </c>
    </row>
    <row r="785" spans="1:13">
      <c r="A785" s="7">
        <v>44614</v>
      </c>
      <c r="B785" s="8">
        <v>79.561983471074484</v>
      </c>
      <c r="E785" s="8">
        <v>83.3</v>
      </c>
      <c r="F785" s="10">
        <f>AVERAGE($E$733:E785)</f>
        <v>83.369811320754707</v>
      </c>
      <c r="I785" s="11">
        <v>2243</v>
      </c>
      <c r="J785" s="11">
        <v>-1900</v>
      </c>
      <c r="K785" s="11">
        <v>-969</v>
      </c>
      <c r="L785" s="11">
        <f t="shared" si="12"/>
        <v>-2869</v>
      </c>
      <c r="M785" s="11">
        <f t="shared" si="13"/>
        <v>-626</v>
      </c>
    </row>
    <row r="786" spans="1:13">
      <c r="A786" s="7">
        <v>44615</v>
      </c>
      <c r="B786" s="8">
        <v>79.495867768595147</v>
      </c>
      <c r="E786" s="8">
        <v>83.1</v>
      </c>
      <c r="F786" s="10">
        <f>AVERAGE($E$733:E786)</f>
        <v>83.364814814814807</v>
      </c>
      <c r="I786" s="11">
        <v>3403</v>
      </c>
      <c r="J786" s="11">
        <v>-1900</v>
      </c>
      <c r="K786" s="11">
        <v>-827</v>
      </c>
      <c r="L786" s="11">
        <f t="shared" si="12"/>
        <v>-2727</v>
      </c>
      <c r="M786" s="11">
        <f t="shared" si="13"/>
        <v>676</v>
      </c>
    </row>
    <row r="787" spans="1:13">
      <c r="A787" s="7">
        <v>44616</v>
      </c>
      <c r="B787" s="8">
        <v>79.42975206611581</v>
      </c>
      <c r="E787" s="8">
        <v>84.4</v>
      </c>
      <c r="F787" s="10">
        <f>AVERAGE($E$733:E787)</f>
        <v>83.383636363636356</v>
      </c>
      <c r="I787" s="11">
        <v>2974</v>
      </c>
      <c r="J787" s="11">
        <v>-1900</v>
      </c>
      <c r="K787" s="11">
        <v>-1619</v>
      </c>
      <c r="L787" s="11">
        <f t="shared" si="12"/>
        <v>-3519</v>
      </c>
      <c r="M787" s="11">
        <f t="shared" si="13"/>
        <v>-545</v>
      </c>
    </row>
    <row r="788" spans="1:13">
      <c r="A788" s="7">
        <v>44617</v>
      </c>
      <c r="B788" s="8">
        <v>79.363636363636473</v>
      </c>
      <c r="E788" s="8">
        <v>84.4</v>
      </c>
      <c r="F788" s="10">
        <f>AVERAGE($E$733:E788)</f>
        <v>83.401785714285694</v>
      </c>
      <c r="I788" s="11">
        <v>3648</v>
      </c>
      <c r="J788" s="11">
        <v>-1900</v>
      </c>
      <c r="K788" s="11">
        <v>-1492</v>
      </c>
      <c r="L788" s="11">
        <f t="shared" si="12"/>
        <v>-3392</v>
      </c>
      <c r="M788" s="11">
        <f t="shared" si="13"/>
        <v>256</v>
      </c>
    </row>
    <row r="789" spans="1:13">
      <c r="A789" s="7">
        <v>44618</v>
      </c>
      <c r="B789" s="8">
        <v>79.297520661157137</v>
      </c>
      <c r="E789" s="8">
        <v>84.4</v>
      </c>
      <c r="F789" s="10">
        <f>AVERAGE($E$733:E789)</f>
        <v>83.419298245614016</v>
      </c>
      <c r="I789" s="11">
        <v>2653</v>
      </c>
      <c r="J789" s="11">
        <v>-1900</v>
      </c>
      <c r="K789" s="11">
        <v>-917</v>
      </c>
      <c r="L789" s="11">
        <f t="shared" si="12"/>
        <v>-2817</v>
      </c>
      <c r="M789" s="11">
        <f t="shared" si="13"/>
        <v>-164</v>
      </c>
    </row>
    <row r="790" spans="1:13">
      <c r="A790" s="7">
        <v>44619</v>
      </c>
      <c r="B790" s="8">
        <v>79.2314049586778</v>
      </c>
      <c r="E790" s="8">
        <v>84.4</v>
      </c>
      <c r="F790" s="10">
        <f>AVERAGE($E$733:E790)</f>
        <v>83.436206896551695</v>
      </c>
      <c r="I790" s="11">
        <v>1763</v>
      </c>
      <c r="J790" s="11">
        <v>-1900</v>
      </c>
      <c r="K790" s="11">
        <v>-1297</v>
      </c>
      <c r="L790" s="11">
        <f t="shared" si="12"/>
        <v>-3197</v>
      </c>
      <c r="M790" s="11">
        <f t="shared" si="13"/>
        <v>-1434</v>
      </c>
    </row>
    <row r="791" spans="1:13">
      <c r="A791" s="7">
        <v>44620</v>
      </c>
      <c r="B791" s="8">
        <v>79.165289256198463</v>
      </c>
      <c r="E791" s="8">
        <v>84.4</v>
      </c>
      <c r="F791" s="10">
        <f>AVERAGE($E$733:E791)</f>
        <v>83.452542372881325</v>
      </c>
      <c r="I791" s="11">
        <v>1960</v>
      </c>
      <c r="J791" s="11">
        <v>-1900</v>
      </c>
      <c r="K791" s="11">
        <v>-1104</v>
      </c>
      <c r="L791" s="11">
        <f t="shared" si="12"/>
        <v>-3004</v>
      </c>
      <c r="M791" s="11">
        <f t="shared" si="13"/>
        <v>-1044</v>
      </c>
    </row>
    <row r="792" spans="1:13">
      <c r="A792" s="7">
        <v>44621</v>
      </c>
      <c r="B792" s="8">
        <v>80.999173553719132</v>
      </c>
      <c r="E792" s="8">
        <v>84.9</v>
      </c>
      <c r="F792" s="10">
        <f>AVERAGE($E$733:E792)</f>
        <v>83.476666666666631</v>
      </c>
      <c r="I792" s="11">
        <v>1426</v>
      </c>
      <c r="J792" s="11">
        <v>-1900</v>
      </c>
      <c r="K792" s="11">
        <v>-674</v>
      </c>
      <c r="L792" s="11">
        <f t="shared" si="12"/>
        <v>-2574</v>
      </c>
      <c r="M792" s="11">
        <f t="shared" si="13"/>
        <v>-1148</v>
      </c>
    </row>
    <row r="793" spans="1:13">
      <c r="A793" s="7">
        <v>44622</v>
      </c>
      <c r="B793" s="8">
        <v>80.933057851239795</v>
      </c>
      <c r="E793" s="8">
        <v>83.7</v>
      </c>
      <c r="F793" s="10">
        <f>AVERAGE($E$733:E793)</f>
        <v>83.480327868852413</v>
      </c>
      <c r="I793" s="11">
        <v>1827</v>
      </c>
      <c r="J793" s="11">
        <v>-1900</v>
      </c>
      <c r="K793" s="11">
        <v>-806</v>
      </c>
      <c r="L793" s="11">
        <f t="shared" si="12"/>
        <v>-2706</v>
      </c>
      <c r="M793" s="11">
        <f t="shared" si="13"/>
        <v>-879</v>
      </c>
    </row>
    <row r="794" spans="1:13">
      <c r="A794" s="7">
        <v>44623</v>
      </c>
      <c r="B794" s="8">
        <v>80.866942148760458</v>
      </c>
      <c r="E794" s="8">
        <v>83.2</v>
      </c>
      <c r="F794" s="10">
        <f>AVERAGE($E$733:E794)</f>
        <v>83.475806451612854</v>
      </c>
      <c r="I794" s="11">
        <v>2250</v>
      </c>
      <c r="J794" s="11">
        <v>-1900</v>
      </c>
      <c r="K794" s="11">
        <v>-1420</v>
      </c>
      <c r="L794" s="11">
        <f t="shared" si="12"/>
        <v>-3320</v>
      </c>
      <c r="M794" s="11">
        <f t="shared" si="13"/>
        <v>-1070</v>
      </c>
    </row>
    <row r="795" spans="1:13">
      <c r="A795" s="7">
        <v>44624</v>
      </c>
      <c r="B795" s="8">
        <v>80.800826446281121</v>
      </c>
      <c r="E795" s="8">
        <v>83.7</v>
      </c>
      <c r="F795" s="10">
        <f>AVERAGE($E$733:E795)</f>
        <v>83.479365079365039</v>
      </c>
      <c r="I795" s="11">
        <v>1536</v>
      </c>
      <c r="J795" s="11">
        <v>-1900</v>
      </c>
      <c r="K795" s="11">
        <v>-792</v>
      </c>
      <c r="L795" s="11">
        <f t="shared" si="12"/>
        <v>-2692</v>
      </c>
      <c r="M795" s="11">
        <f t="shared" si="13"/>
        <v>-1156</v>
      </c>
    </row>
    <row r="796" spans="1:13">
      <c r="A796" s="7">
        <v>44625</v>
      </c>
      <c r="B796" s="8">
        <v>80.734710743801784</v>
      </c>
      <c r="E796" s="8">
        <v>83.5</v>
      </c>
      <c r="F796" s="10">
        <f>AVERAGE($E$733:E796)</f>
        <v>83.479687499999955</v>
      </c>
      <c r="I796" s="11">
        <v>2747</v>
      </c>
      <c r="J796" s="11">
        <v>-1900</v>
      </c>
      <c r="K796" s="11">
        <v>-1668</v>
      </c>
      <c r="L796" s="11">
        <f t="shared" si="12"/>
        <v>-3568</v>
      </c>
      <c r="M796" s="11">
        <f t="shared" si="13"/>
        <v>-821</v>
      </c>
    </row>
    <row r="797" spans="1:13">
      <c r="A797" s="7">
        <v>44626</v>
      </c>
      <c r="B797" s="8">
        <v>80.668595041322448</v>
      </c>
      <c r="E797" s="8">
        <v>83.6</v>
      </c>
      <c r="F797" s="10">
        <f>AVERAGE($E$733:E797)</f>
        <v>83.48153846153842</v>
      </c>
      <c r="I797" s="11">
        <v>2929</v>
      </c>
      <c r="J797" s="11">
        <v>-1900</v>
      </c>
      <c r="K797" s="11">
        <v>-474</v>
      </c>
      <c r="L797" s="11">
        <f t="shared" si="12"/>
        <v>-2374</v>
      </c>
      <c r="M797" s="11">
        <f t="shared" si="13"/>
        <v>555</v>
      </c>
    </row>
    <row r="798" spans="1:13">
      <c r="A798" s="7">
        <v>44627</v>
      </c>
      <c r="B798" s="8">
        <v>80.602479338843111</v>
      </c>
      <c r="E798" s="8">
        <v>84.8</v>
      </c>
      <c r="F798" s="10">
        <f>AVERAGE($E$733:E798)</f>
        <v>83.501515151515122</v>
      </c>
      <c r="I798" s="11">
        <v>1858</v>
      </c>
      <c r="J798" s="11">
        <v>-1900</v>
      </c>
      <c r="K798" s="11">
        <v>-1085</v>
      </c>
      <c r="L798" s="11">
        <f t="shared" ref="L798:L861" si="14">SUM(J798:K798)</f>
        <v>-2985</v>
      </c>
      <c r="M798" s="11">
        <f t="shared" ref="M798:M861" si="15">I798+J798+K798</f>
        <v>-1127</v>
      </c>
    </row>
    <row r="799" spans="1:13">
      <c r="A799" s="7">
        <v>44628</v>
      </c>
      <c r="B799" s="8">
        <v>80.536363636363774</v>
      </c>
      <c r="E799" s="8">
        <v>83.7</v>
      </c>
      <c r="F799" s="10">
        <f>AVERAGE($E$733:E799)</f>
        <v>83.50447761194026</v>
      </c>
      <c r="I799" s="11">
        <v>2869</v>
      </c>
      <c r="J799" s="11">
        <v>-1900</v>
      </c>
      <c r="K799" s="11">
        <v>-932</v>
      </c>
      <c r="L799" s="11">
        <f t="shared" si="14"/>
        <v>-2832</v>
      </c>
      <c r="M799" s="11">
        <f t="shared" si="15"/>
        <v>37</v>
      </c>
    </row>
    <row r="800" spans="1:13">
      <c r="A800" s="7">
        <v>44629</v>
      </c>
      <c r="B800" s="8">
        <v>80.470247933884437</v>
      </c>
      <c r="E800" s="8">
        <v>83.7</v>
      </c>
      <c r="F800" s="10">
        <f>AVERAGE($E$733:E800)</f>
        <v>83.507352941176435</v>
      </c>
      <c r="I800" s="11">
        <v>1878</v>
      </c>
      <c r="J800" s="11">
        <v>-1900</v>
      </c>
      <c r="K800" s="11">
        <v>-630</v>
      </c>
      <c r="L800" s="11">
        <f t="shared" si="14"/>
        <v>-2530</v>
      </c>
      <c r="M800" s="11">
        <f t="shared" si="15"/>
        <v>-652</v>
      </c>
    </row>
    <row r="801" spans="1:13">
      <c r="A801" s="7">
        <v>44630</v>
      </c>
      <c r="B801" s="8">
        <v>80.4041322314051</v>
      </c>
      <c r="E801" s="8">
        <v>83.6</v>
      </c>
      <c r="F801" s="10">
        <f>AVERAGE($E$733:E801)</f>
        <v>83.508695652173884</v>
      </c>
      <c r="I801" s="11">
        <v>2000</v>
      </c>
      <c r="J801" s="11">
        <v>-1900</v>
      </c>
      <c r="K801" s="11">
        <v>-726</v>
      </c>
      <c r="L801" s="11">
        <f t="shared" si="14"/>
        <v>-2626</v>
      </c>
      <c r="M801" s="11">
        <f t="shared" si="15"/>
        <v>-626</v>
      </c>
    </row>
    <row r="802" spans="1:13">
      <c r="A802" s="7">
        <v>44631</v>
      </c>
      <c r="B802" s="8">
        <v>80.338016528925763</v>
      </c>
      <c r="E802" s="8">
        <v>83.5</v>
      </c>
      <c r="F802" s="10">
        <f>AVERAGE($E$733:E802)</f>
        <v>83.5085714285714</v>
      </c>
      <c r="I802" s="11">
        <v>2000</v>
      </c>
      <c r="J802" s="11">
        <v>-1900</v>
      </c>
      <c r="K802" s="11">
        <v>-1240</v>
      </c>
      <c r="L802" s="11">
        <f t="shared" si="14"/>
        <v>-3140</v>
      </c>
      <c r="M802" s="11">
        <f t="shared" si="15"/>
        <v>-1140</v>
      </c>
    </row>
    <row r="803" spans="1:13">
      <c r="A803" s="7">
        <v>44632</v>
      </c>
      <c r="B803" s="8">
        <v>80.271900826446426</v>
      </c>
      <c r="E803" s="8">
        <v>84</v>
      </c>
      <c r="F803" s="10">
        <f>AVERAGE($E$733:E803)</f>
        <v>83.515492957746446</v>
      </c>
      <c r="I803" s="11">
        <v>2000</v>
      </c>
      <c r="J803" s="11">
        <v>-1900</v>
      </c>
      <c r="K803" s="11">
        <v>-1551</v>
      </c>
      <c r="L803" s="11">
        <f t="shared" si="14"/>
        <v>-3451</v>
      </c>
      <c r="M803" s="11">
        <f t="shared" si="15"/>
        <v>-1451</v>
      </c>
    </row>
    <row r="804" spans="1:13">
      <c r="A804" s="7">
        <v>44633</v>
      </c>
      <c r="B804" s="8">
        <v>80.20578512396709</v>
      </c>
      <c r="E804" s="8">
        <v>84</v>
      </c>
      <c r="F804" s="10">
        <f>AVERAGE($E$733:E804)</f>
        <v>83.522222222222183</v>
      </c>
      <c r="I804" s="11">
        <v>2301</v>
      </c>
      <c r="J804" s="11">
        <v>-1900</v>
      </c>
      <c r="K804" s="11">
        <v>-1285</v>
      </c>
      <c r="L804" s="11">
        <f t="shared" si="14"/>
        <v>-3185</v>
      </c>
      <c r="M804" s="11">
        <f t="shared" si="15"/>
        <v>-884</v>
      </c>
    </row>
    <row r="805" spans="1:13">
      <c r="A805" s="7">
        <v>44634</v>
      </c>
      <c r="B805" s="8">
        <v>80.139669421487753</v>
      </c>
      <c r="E805" s="8">
        <v>84</v>
      </c>
      <c r="F805" s="10">
        <f>AVERAGE($E$733:E805)</f>
        <v>83.528767123287636</v>
      </c>
      <c r="I805" s="11">
        <v>1692</v>
      </c>
      <c r="J805" s="11">
        <v>-1900</v>
      </c>
      <c r="K805" s="11">
        <v>-1023</v>
      </c>
      <c r="L805" s="11">
        <f t="shared" si="14"/>
        <v>-2923</v>
      </c>
      <c r="M805" s="11">
        <f t="shared" si="15"/>
        <v>-1231</v>
      </c>
    </row>
    <row r="806" spans="1:13">
      <c r="A806" s="7">
        <v>44635</v>
      </c>
      <c r="B806" s="8">
        <v>80.073553719008416</v>
      </c>
      <c r="E806" s="8">
        <v>83.9</v>
      </c>
      <c r="F806" s="10">
        <f>AVERAGE($E$733:E806)</f>
        <v>83.533783783783747</v>
      </c>
      <c r="I806" s="11">
        <v>2291</v>
      </c>
      <c r="J806" s="11">
        <v>-1900</v>
      </c>
      <c r="K806" s="11">
        <v>-1084</v>
      </c>
      <c r="L806" s="11">
        <f t="shared" si="14"/>
        <v>-2984</v>
      </c>
      <c r="M806" s="11">
        <f t="shared" si="15"/>
        <v>-693</v>
      </c>
    </row>
    <row r="807" spans="1:13">
      <c r="A807" s="7">
        <v>44636</v>
      </c>
      <c r="B807" s="8">
        <v>80.007438016529079</v>
      </c>
      <c r="E807" s="8">
        <v>83</v>
      </c>
      <c r="F807" s="10">
        <f>AVERAGE($E$733:E807)</f>
        <v>83.526666666666628</v>
      </c>
      <c r="I807" s="11">
        <v>1612</v>
      </c>
      <c r="J807" s="11">
        <v>-1900</v>
      </c>
      <c r="K807" s="11">
        <v>-757</v>
      </c>
      <c r="L807" s="11">
        <f t="shared" si="14"/>
        <v>-2657</v>
      </c>
      <c r="M807" s="11">
        <f t="shared" si="15"/>
        <v>-1045</v>
      </c>
    </row>
    <row r="808" spans="1:13">
      <c r="A808" s="7">
        <v>44637</v>
      </c>
      <c r="B808" s="8">
        <v>79.941322314049742</v>
      </c>
      <c r="E808" s="8">
        <v>82.8</v>
      </c>
      <c r="F808" s="10">
        <f>AVERAGE($E$733:E808)</f>
        <v>83.517105263157859</v>
      </c>
      <c r="I808" s="11">
        <v>2597</v>
      </c>
      <c r="J808" s="11">
        <v>-1900</v>
      </c>
      <c r="K808" s="11">
        <v>-885</v>
      </c>
      <c r="L808" s="11">
        <f t="shared" si="14"/>
        <v>-2785</v>
      </c>
      <c r="M808" s="11">
        <f t="shared" si="15"/>
        <v>-188</v>
      </c>
    </row>
    <row r="809" spans="1:13">
      <c r="A809" s="7">
        <v>44638</v>
      </c>
      <c r="B809" s="8">
        <v>79.875206611570405</v>
      </c>
      <c r="E809" s="8">
        <v>83.6</v>
      </c>
      <c r="F809" s="10">
        <f>AVERAGE($E$733:E809)</f>
        <v>83.518181818181787</v>
      </c>
      <c r="I809" s="11">
        <v>2630</v>
      </c>
      <c r="J809" s="11">
        <v>-1900</v>
      </c>
      <c r="K809" s="11">
        <v>-1158</v>
      </c>
      <c r="L809" s="11">
        <f t="shared" si="14"/>
        <v>-3058</v>
      </c>
      <c r="M809" s="11">
        <f t="shared" si="15"/>
        <v>-428</v>
      </c>
    </row>
    <row r="810" spans="1:13">
      <c r="A810" s="7">
        <v>44639</v>
      </c>
      <c r="B810" s="8">
        <v>79.809090909091069</v>
      </c>
      <c r="E810" s="8">
        <v>83.4</v>
      </c>
      <c r="F810" s="10">
        <f>AVERAGE($E$733:E810)</f>
        <v>83.516666666666637</v>
      </c>
      <c r="I810" s="11">
        <v>3255</v>
      </c>
      <c r="J810" s="11">
        <v>-1900</v>
      </c>
      <c r="K810" s="11">
        <v>-1371</v>
      </c>
      <c r="L810" s="11">
        <f t="shared" si="14"/>
        <v>-3271</v>
      </c>
      <c r="M810" s="11">
        <f t="shared" si="15"/>
        <v>-16</v>
      </c>
    </row>
    <row r="811" spans="1:13">
      <c r="A811" s="7">
        <v>44640</v>
      </c>
      <c r="B811" s="8">
        <v>79.742975206611732</v>
      </c>
      <c r="E811" s="8">
        <v>83.6</v>
      </c>
      <c r="F811" s="10">
        <f>AVERAGE($E$733:E811)</f>
        <v>83.517721518987315</v>
      </c>
      <c r="I811" s="11">
        <v>3250</v>
      </c>
      <c r="J811" s="11">
        <v>-1900</v>
      </c>
      <c r="K811" s="11">
        <v>-1297</v>
      </c>
      <c r="L811" s="11">
        <f t="shared" si="14"/>
        <v>-3197</v>
      </c>
      <c r="M811" s="11">
        <f t="shared" si="15"/>
        <v>53</v>
      </c>
    </row>
    <row r="812" spans="1:13">
      <c r="A812" s="7">
        <v>44641</v>
      </c>
      <c r="B812" s="8">
        <v>79.676859504132395</v>
      </c>
      <c r="E812" s="8">
        <v>84.7</v>
      </c>
      <c r="F812" s="10">
        <f>AVERAGE($E$733:E812)</f>
        <v>83.53249999999997</v>
      </c>
      <c r="I812" s="11">
        <v>2003</v>
      </c>
      <c r="J812" s="11">
        <v>-1900</v>
      </c>
      <c r="K812" s="11">
        <v>-1106</v>
      </c>
      <c r="L812" s="11">
        <f t="shared" si="14"/>
        <v>-3006</v>
      </c>
      <c r="M812" s="11">
        <f t="shared" si="15"/>
        <v>-1003</v>
      </c>
    </row>
    <row r="813" spans="1:13">
      <c r="A813" s="7">
        <v>44642</v>
      </c>
      <c r="B813" s="8">
        <v>79.610743801653058</v>
      </c>
      <c r="E813" s="8">
        <v>83.5</v>
      </c>
      <c r="F813" s="10">
        <f>AVERAGE($E$733:E813)</f>
        <v>83.532098765432067</v>
      </c>
      <c r="I813" s="11">
        <v>1850</v>
      </c>
      <c r="J813" s="11">
        <v>-1900</v>
      </c>
      <c r="K813" s="11">
        <v>-554</v>
      </c>
      <c r="L813" s="11">
        <f t="shared" si="14"/>
        <v>-2454</v>
      </c>
      <c r="M813" s="11">
        <f t="shared" si="15"/>
        <v>-604</v>
      </c>
    </row>
    <row r="814" spans="1:13">
      <c r="A814" s="7">
        <v>44643</v>
      </c>
      <c r="B814" s="8">
        <v>79.544628099173721</v>
      </c>
      <c r="E814" s="8">
        <v>84.1</v>
      </c>
      <c r="F814" s="10">
        <f>AVERAGE($E$733:E814)</f>
        <v>83.539024390243881</v>
      </c>
      <c r="I814" s="11">
        <v>2674</v>
      </c>
      <c r="J814" s="11">
        <v>-1900</v>
      </c>
      <c r="K814" s="11">
        <v>-1184</v>
      </c>
      <c r="L814" s="11">
        <f t="shared" si="14"/>
        <v>-3084</v>
      </c>
      <c r="M814" s="11">
        <f t="shared" si="15"/>
        <v>-410</v>
      </c>
    </row>
    <row r="815" spans="1:13">
      <c r="A815" s="7">
        <v>44644</v>
      </c>
      <c r="B815" s="8">
        <v>79.478512396694384</v>
      </c>
      <c r="E815" s="8">
        <v>83.8</v>
      </c>
      <c r="F815" s="10">
        <f>AVERAGE($E$733:E815)</f>
        <v>83.542168674698772</v>
      </c>
      <c r="I815" s="11">
        <v>2392</v>
      </c>
      <c r="J815" s="11">
        <v>-1900</v>
      </c>
      <c r="K815" s="11">
        <v>-1311</v>
      </c>
      <c r="L815" s="11">
        <f t="shared" si="14"/>
        <v>-3211</v>
      </c>
      <c r="M815" s="11">
        <f t="shared" si="15"/>
        <v>-819</v>
      </c>
    </row>
    <row r="816" spans="1:13">
      <c r="A816" s="7">
        <v>44645</v>
      </c>
      <c r="B816" s="8">
        <v>79.412396694215047</v>
      </c>
      <c r="E816" s="8">
        <v>83.9</v>
      </c>
      <c r="F816" s="10">
        <f>AVERAGE($E$733:E816)</f>
        <v>83.54642857142855</v>
      </c>
      <c r="I816" s="11">
        <v>2118</v>
      </c>
      <c r="J816" s="11">
        <v>-1900</v>
      </c>
      <c r="K816" s="11">
        <v>-1125</v>
      </c>
      <c r="L816" s="11">
        <f t="shared" si="14"/>
        <v>-3025</v>
      </c>
      <c r="M816" s="11">
        <f t="shared" si="15"/>
        <v>-907</v>
      </c>
    </row>
    <row r="817" spans="1:13">
      <c r="A817" s="7">
        <v>44646</v>
      </c>
      <c r="B817" s="8">
        <v>79.346280991735711</v>
      </c>
      <c r="E817" s="8">
        <v>84.4</v>
      </c>
      <c r="F817" s="10">
        <f>AVERAGE($E$733:E817)</f>
        <v>83.556470588235271</v>
      </c>
      <c r="I817" s="11">
        <v>2322</v>
      </c>
      <c r="J817" s="11">
        <v>-1900</v>
      </c>
      <c r="K817" s="11">
        <v>-2009</v>
      </c>
      <c r="L817" s="11">
        <f t="shared" si="14"/>
        <v>-3909</v>
      </c>
      <c r="M817" s="11">
        <f t="shared" si="15"/>
        <v>-1587</v>
      </c>
    </row>
    <row r="818" spans="1:13">
      <c r="A818" s="7">
        <v>44647</v>
      </c>
      <c r="B818" s="8">
        <v>79.280165289256374</v>
      </c>
      <c r="E818" s="8">
        <v>84.4</v>
      </c>
      <c r="F818" s="10">
        <f>AVERAGE($E$733:E818)</f>
        <v>83.566279069767404</v>
      </c>
      <c r="I818" s="11">
        <v>2224</v>
      </c>
      <c r="J818" s="11">
        <v>-1900</v>
      </c>
      <c r="K818" s="11">
        <v>-684</v>
      </c>
      <c r="L818" s="11">
        <f t="shared" si="14"/>
        <v>-2584</v>
      </c>
      <c r="M818" s="11">
        <f t="shared" si="15"/>
        <v>-360</v>
      </c>
    </row>
    <row r="819" spans="1:13">
      <c r="A819" s="7">
        <v>44648</v>
      </c>
      <c r="B819" s="8">
        <v>79.214049586777037</v>
      </c>
      <c r="E819" s="8">
        <v>84.5</v>
      </c>
      <c r="F819" s="10">
        <f>AVERAGE($E$733:E819)</f>
        <v>83.577011494252844</v>
      </c>
      <c r="I819" s="11">
        <v>2001</v>
      </c>
      <c r="J819" s="11">
        <v>-1900</v>
      </c>
      <c r="K819" s="11">
        <v>-915</v>
      </c>
      <c r="L819" s="11">
        <f t="shared" si="14"/>
        <v>-2815</v>
      </c>
      <c r="M819" s="11">
        <f t="shared" si="15"/>
        <v>-814</v>
      </c>
    </row>
    <row r="820" spans="1:13">
      <c r="A820" s="7">
        <v>44649</v>
      </c>
      <c r="B820" s="8">
        <v>79.1479338842977</v>
      </c>
      <c r="E820" s="8">
        <v>82.9</v>
      </c>
      <c r="F820" s="10">
        <f>AVERAGE($E$733:E820)</f>
        <v>83.569318181818147</v>
      </c>
      <c r="I820" s="11">
        <v>2501</v>
      </c>
      <c r="J820" s="11">
        <v>-1900</v>
      </c>
      <c r="K820" s="11">
        <v>-1171</v>
      </c>
      <c r="L820" s="11">
        <f t="shared" si="14"/>
        <v>-3071</v>
      </c>
      <c r="M820" s="11">
        <f t="shared" si="15"/>
        <v>-570</v>
      </c>
    </row>
    <row r="821" spans="1:13">
      <c r="A821" s="7">
        <v>44650</v>
      </c>
      <c r="B821" s="8">
        <v>79.081818181818363</v>
      </c>
      <c r="E821" s="8">
        <v>82.7</v>
      </c>
      <c r="F821" s="10">
        <f>AVERAGE($E$733:E821)</f>
        <v>83.559550561797721</v>
      </c>
      <c r="I821" s="11">
        <v>1873</v>
      </c>
      <c r="J821" s="11">
        <v>-1900</v>
      </c>
      <c r="K821" s="11">
        <v>-807</v>
      </c>
      <c r="L821" s="11">
        <f t="shared" si="14"/>
        <v>-2707</v>
      </c>
      <c r="M821" s="11">
        <f t="shared" si="15"/>
        <v>-834</v>
      </c>
    </row>
    <row r="822" spans="1:13">
      <c r="A822" s="7">
        <v>44651</v>
      </c>
      <c r="B822" s="8">
        <v>79.015702479339026</v>
      </c>
      <c r="E822" s="8">
        <v>83</v>
      </c>
      <c r="F822" s="10">
        <f>AVERAGE($E$733:E822)</f>
        <v>83.553333333333299</v>
      </c>
      <c r="I822" s="11">
        <v>2216</v>
      </c>
      <c r="J822" s="11">
        <v>-1900</v>
      </c>
      <c r="K822" s="11">
        <v>-739</v>
      </c>
      <c r="L822" s="11">
        <f t="shared" si="14"/>
        <v>-2639</v>
      </c>
      <c r="M822" s="11">
        <f t="shared" si="15"/>
        <v>-423</v>
      </c>
    </row>
    <row r="823" spans="1:13">
      <c r="A823" s="7">
        <v>44652</v>
      </c>
      <c r="B823" s="8">
        <v>83.049586776859684</v>
      </c>
      <c r="E823" s="8">
        <v>83.5</v>
      </c>
      <c r="F823" s="10">
        <f>AVERAGE($E$733:E823)</f>
        <v>83.55274725274721</v>
      </c>
      <c r="I823" s="11">
        <v>2295</v>
      </c>
      <c r="J823" s="11">
        <v>-1900</v>
      </c>
      <c r="K823" s="11">
        <v>-732</v>
      </c>
      <c r="L823" s="11">
        <f t="shared" si="14"/>
        <v>-2632</v>
      </c>
      <c r="M823" s="11">
        <f t="shared" si="15"/>
        <v>-337</v>
      </c>
    </row>
    <row r="824" spans="1:13">
      <c r="A824" s="7">
        <v>44653</v>
      </c>
      <c r="B824" s="8">
        <v>82.983471074380347</v>
      </c>
      <c r="E824" s="8">
        <v>83.6</v>
      </c>
      <c r="F824" s="10">
        <f>AVERAGE($E$733:E824)</f>
        <v>83.553260869565179</v>
      </c>
      <c r="I824" s="11">
        <v>2617</v>
      </c>
      <c r="J824" s="11">
        <v>-1900</v>
      </c>
      <c r="K824" s="11">
        <v>-1275</v>
      </c>
      <c r="L824" s="11">
        <f t="shared" si="14"/>
        <v>-3175</v>
      </c>
      <c r="M824" s="11">
        <f t="shared" si="15"/>
        <v>-558</v>
      </c>
    </row>
    <row r="825" spans="1:13">
      <c r="A825" s="7">
        <v>44654</v>
      </c>
      <c r="B825" s="8">
        <v>82.91735537190101</v>
      </c>
      <c r="E825" s="8">
        <v>82.8</v>
      </c>
      <c r="F825" s="10">
        <f>AVERAGE($E$733:E825)</f>
        <v>83.545161290322554</v>
      </c>
      <c r="I825" s="11">
        <v>1971</v>
      </c>
      <c r="J825" s="11">
        <v>-1900</v>
      </c>
      <c r="K825" s="11">
        <v>-801</v>
      </c>
      <c r="L825" s="11">
        <f t="shared" si="14"/>
        <v>-2701</v>
      </c>
      <c r="M825" s="11">
        <f t="shared" si="15"/>
        <v>-730</v>
      </c>
    </row>
    <row r="826" spans="1:13">
      <c r="A826" s="7">
        <v>44655</v>
      </c>
      <c r="B826" s="8">
        <v>82.851239669421673</v>
      </c>
      <c r="E826" s="8">
        <v>84.3</v>
      </c>
      <c r="F826" s="10">
        <f>AVERAGE($E$733:E826)</f>
        <v>83.55319148936168</v>
      </c>
      <c r="I826" s="11">
        <v>2388</v>
      </c>
      <c r="J826" s="11">
        <v>-1900</v>
      </c>
      <c r="K826" s="11">
        <v>-735</v>
      </c>
      <c r="L826" s="11">
        <f t="shared" si="14"/>
        <v>-2635</v>
      </c>
      <c r="M826" s="11">
        <f t="shared" si="15"/>
        <v>-247</v>
      </c>
    </row>
    <row r="827" spans="1:13">
      <c r="A827" s="7">
        <v>44656</v>
      </c>
      <c r="B827" s="8">
        <v>82.785123966942336</v>
      </c>
      <c r="E827" s="8">
        <v>82.9</v>
      </c>
      <c r="F827" s="10">
        <f>AVERAGE($E$733:E827)</f>
        <v>83.546315789473653</v>
      </c>
      <c r="I827" s="11">
        <v>1931</v>
      </c>
      <c r="J827" s="11">
        <v>-1900</v>
      </c>
      <c r="K827" s="11">
        <v>-727</v>
      </c>
      <c r="L827" s="11">
        <f t="shared" si="14"/>
        <v>-2627</v>
      </c>
      <c r="M827" s="11">
        <f t="shared" si="15"/>
        <v>-696</v>
      </c>
    </row>
    <row r="828" spans="1:13">
      <c r="A828" s="7">
        <v>44657</v>
      </c>
      <c r="B828" s="8">
        <v>82.719008264463</v>
      </c>
      <c r="E828" s="8">
        <v>83.2</v>
      </c>
      <c r="F828" s="10">
        <f>AVERAGE($E$733:E828)</f>
        <v>83.542708333333294</v>
      </c>
      <c r="I828" s="11">
        <v>2061</v>
      </c>
      <c r="J828" s="11">
        <v>-1900</v>
      </c>
      <c r="K828" s="11">
        <v>-835</v>
      </c>
      <c r="L828" s="11">
        <f t="shared" si="14"/>
        <v>-2735</v>
      </c>
      <c r="M828" s="11">
        <f t="shared" si="15"/>
        <v>-674</v>
      </c>
    </row>
    <row r="829" spans="1:13">
      <c r="A829" s="7">
        <v>44658</v>
      </c>
      <c r="B829" s="8">
        <v>82.652892561983663</v>
      </c>
      <c r="E829" s="8">
        <v>83.6</v>
      </c>
      <c r="F829" s="10">
        <f>AVERAGE($E$733:E829)</f>
        <v>83.54329896907214</v>
      </c>
      <c r="I829" s="11">
        <v>2080</v>
      </c>
      <c r="J829" s="11">
        <v>-1900</v>
      </c>
      <c r="K829" s="11">
        <v>-657</v>
      </c>
      <c r="L829" s="11">
        <f t="shared" si="14"/>
        <v>-2557</v>
      </c>
      <c r="M829" s="11">
        <f t="shared" si="15"/>
        <v>-477</v>
      </c>
    </row>
    <row r="830" spans="1:13">
      <c r="A830" s="7">
        <v>44659</v>
      </c>
      <c r="B830" s="8">
        <v>82.586776859504326</v>
      </c>
      <c r="E830" s="8">
        <v>83.7</v>
      </c>
      <c r="F830" s="10">
        <f>AVERAGE($E$733:E830)</f>
        <v>83.544897959183643</v>
      </c>
      <c r="I830" s="11">
        <v>1917</v>
      </c>
      <c r="J830" s="11">
        <v>-1900</v>
      </c>
      <c r="K830" s="11">
        <v>-747</v>
      </c>
      <c r="L830" s="11">
        <f t="shared" si="14"/>
        <v>-2647</v>
      </c>
      <c r="M830" s="11">
        <f t="shared" si="15"/>
        <v>-730</v>
      </c>
    </row>
    <row r="831" spans="1:13">
      <c r="A831" s="7">
        <v>44660</v>
      </c>
      <c r="B831" s="8">
        <v>82.520661157024989</v>
      </c>
      <c r="E831" s="8">
        <v>83.3</v>
      </c>
      <c r="F831" s="10">
        <f>AVERAGE($E$733:E831)</f>
        <v>83.542424242424218</v>
      </c>
      <c r="I831" s="11">
        <v>3161</v>
      </c>
      <c r="J831" s="11">
        <v>-1900</v>
      </c>
      <c r="K831" s="11">
        <v>-2121</v>
      </c>
      <c r="L831" s="11">
        <f t="shared" si="14"/>
        <v>-4021</v>
      </c>
      <c r="M831" s="11">
        <f t="shared" si="15"/>
        <v>-860</v>
      </c>
    </row>
    <row r="832" spans="1:13">
      <c r="A832" s="7">
        <v>44661</v>
      </c>
      <c r="B832" s="8">
        <v>82.454545454545652</v>
      </c>
      <c r="E832" s="8">
        <v>83</v>
      </c>
      <c r="F832" s="10">
        <f>AVERAGE($E$733:E832)</f>
        <v>83.536999999999978</v>
      </c>
      <c r="I832" s="11">
        <v>2038</v>
      </c>
      <c r="J832" s="11">
        <v>-1900</v>
      </c>
      <c r="K832" s="11">
        <v>-1217</v>
      </c>
      <c r="L832" s="11">
        <f t="shared" si="14"/>
        <v>-3117</v>
      </c>
      <c r="M832" s="11">
        <f t="shared" si="15"/>
        <v>-1079</v>
      </c>
    </row>
    <row r="833" spans="1:13">
      <c r="A833" s="7">
        <v>44662</v>
      </c>
      <c r="B833" s="8">
        <v>82.388429752066315</v>
      </c>
      <c r="E833" s="8">
        <v>82.6</v>
      </c>
      <c r="F833" s="10">
        <f>AVERAGE($E$733:E833)</f>
        <v>83.527722772277201</v>
      </c>
      <c r="I833" s="11">
        <v>2397</v>
      </c>
      <c r="J833" s="11">
        <v>-1900</v>
      </c>
      <c r="K833" s="11">
        <v>-997</v>
      </c>
      <c r="L833" s="11">
        <f t="shared" si="14"/>
        <v>-2897</v>
      </c>
      <c r="M833" s="11">
        <f t="shared" si="15"/>
        <v>-500</v>
      </c>
    </row>
    <row r="834" spans="1:13">
      <c r="A834" s="7">
        <v>44663</v>
      </c>
      <c r="B834" s="8">
        <v>82.322314049586979</v>
      </c>
      <c r="E834" s="8">
        <v>82.4</v>
      </c>
      <c r="F834" s="10">
        <f>AVERAGE($E$733:E834)</f>
        <v>83.516666666666637</v>
      </c>
      <c r="I834" s="11">
        <v>2209</v>
      </c>
      <c r="J834" s="11">
        <v>-1900</v>
      </c>
      <c r="K834" s="11">
        <v>-880</v>
      </c>
      <c r="L834" s="11">
        <f t="shared" si="14"/>
        <v>-2780</v>
      </c>
      <c r="M834" s="11">
        <f t="shared" si="15"/>
        <v>-571</v>
      </c>
    </row>
    <row r="835" spans="1:13">
      <c r="A835" s="7">
        <v>44664</v>
      </c>
      <c r="B835" s="8">
        <v>82.256198347107642</v>
      </c>
      <c r="E835" s="8">
        <v>82.6</v>
      </c>
      <c r="F835" s="10">
        <f>AVERAGE($E$733:E835)</f>
        <v>83.507766990291231</v>
      </c>
      <c r="I835" s="11">
        <v>2250</v>
      </c>
      <c r="J835" s="11">
        <v>-1900</v>
      </c>
      <c r="K835" s="11">
        <v>-781</v>
      </c>
      <c r="L835" s="11">
        <f t="shared" si="14"/>
        <v>-2681</v>
      </c>
      <c r="M835" s="11">
        <f t="shared" si="15"/>
        <v>-431</v>
      </c>
    </row>
    <row r="836" spans="1:13">
      <c r="A836" s="7">
        <v>44665</v>
      </c>
      <c r="B836" s="8">
        <v>82.190082644628305</v>
      </c>
      <c r="E836" s="8">
        <v>81.099999999999994</v>
      </c>
      <c r="F836" s="10">
        <f>AVERAGE($E$733:E836)</f>
        <v>83.484615384615367</v>
      </c>
      <c r="I836" s="11">
        <v>2172</v>
      </c>
      <c r="J836" s="11">
        <v>-1900</v>
      </c>
      <c r="K836" s="11">
        <v>-965</v>
      </c>
      <c r="L836" s="11">
        <f t="shared" si="14"/>
        <v>-2865</v>
      </c>
      <c r="M836" s="11">
        <f t="shared" si="15"/>
        <v>-693</v>
      </c>
    </row>
    <row r="837" spans="1:13">
      <c r="A837" s="7">
        <v>44666</v>
      </c>
      <c r="B837" s="8">
        <v>82.123966942148968</v>
      </c>
      <c r="E837" s="8">
        <v>81.5</v>
      </c>
      <c r="F837" s="10">
        <f>AVERAGE($E$733:E837)</f>
        <v>83.46571428571427</v>
      </c>
      <c r="I837" s="11">
        <v>2500</v>
      </c>
      <c r="J837" s="11">
        <v>-1900</v>
      </c>
      <c r="K837" s="11">
        <v>-763</v>
      </c>
      <c r="L837" s="11">
        <f t="shared" si="14"/>
        <v>-2663</v>
      </c>
      <c r="M837" s="11">
        <f t="shared" si="15"/>
        <v>-163</v>
      </c>
    </row>
    <row r="838" spans="1:13">
      <c r="A838" s="7">
        <v>44667</v>
      </c>
      <c r="B838" s="8">
        <v>82.057851239669631</v>
      </c>
      <c r="E838" s="8">
        <v>80.8</v>
      </c>
      <c r="F838" s="10">
        <f>AVERAGE($E$733:E838)</f>
        <v>83.44056603773582</v>
      </c>
      <c r="I838" s="11">
        <v>2500</v>
      </c>
      <c r="J838" s="11">
        <v>-1900</v>
      </c>
      <c r="K838" s="11">
        <v>-1489</v>
      </c>
      <c r="L838" s="11">
        <f t="shared" si="14"/>
        <v>-3389</v>
      </c>
      <c r="M838" s="11">
        <f t="shared" si="15"/>
        <v>-889</v>
      </c>
    </row>
    <row r="839" spans="1:13">
      <c r="A839" s="7">
        <v>44668</v>
      </c>
      <c r="B839" s="8">
        <v>81.991735537190294</v>
      </c>
      <c r="E839" s="8">
        <v>83.4</v>
      </c>
      <c r="F839" s="10">
        <f>AVERAGE($E$733:E839)</f>
        <v>83.440186915887821</v>
      </c>
      <c r="I839" s="11">
        <v>2500</v>
      </c>
      <c r="J839" s="11">
        <v>-1900</v>
      </c>
      <c r="K839" s="11">
        <v>-585</v>
      </c>
      <c r="L839" s="11">
        <f t="shared" si="14"/>
        <v>-2485</v>
      </c>
      <c r="M839" s="11">
        <f t="shared" si="15"/>
        <v>15</v>
      </c>
    </row>
    <row r="840" spans="1:13">
      <c r="A840" s="7">
        <v>44669</v>
      </c>
      <c r="B840" s="8">
        <v>81.925619834710957</v>
      </c>
      <c r="E840" s="8">
        <v>85.4</v>
      </c>
      <c r="F840" s="10">
        <f>AVERAGE($E$733:E840)</f>
        <v>83.4583333333333</v>
      </c>
      <c r="I840" s="11">
        <v>2500</v>
      </c>
      <c r="J840" s="11">
        <v>-1900</v>
      </c>
      <c r="K840" s="11">
        <v>-1050</v>
      </c>
      <c r="L840" s="11">
        <f t="shared" si="14"/>
        <v>-2950</v>
      </c>
      <c r="M840" s="11">
        <f t="shared" si="15"/>
        <v>-450</v>
      </c>
    </row>
    <row r="841" spans="1:13">
      <c r="A841" s="7">
        <v>44670</v>
      </c>
      <c r="B841" s="8">
        <v>81.859504132231621</v>
      </c>
      <c r="E841" s="8">
        <v>86.6</v>
      </c>
      <c r="F841" s="10">
        <f>AVERAGE($E$733:E841)</f>
        <v>83.487155963302726</v>
      </c>
      <c r="I841" s="11">
        <v>2500</v>
      </c>
      <c r="J841" s="11">
        <v>-1900</v>
      </c>
      <c r="K841" s="11">
        <v>-800</v>
      </c>
      <c r="L841" s="11">
        <f t="shared" si="14"/>
        <v>-2700</v>
      </c>
      <c r="M841" s="11">
        <f t="shared" si="15"/>
        <v>-200</v>
      </c>
    </row>
    <row r="842" spans="1:13">
      <c r="A842" s="7">
        <v>44671</v>
      </c>
      <c r="B842" s="8">
        <v>81.793388429752284</v>
      </c>
      <c r="E842" s="8">
        <v>84.4</v>
      </c>
      <c r="F842" s="10">
        <f>AVERAGE($E$733:E842)</f>
        <v>83.495454545454507</v>
      </c>
      <c r="I842" s="11">
        <v>1920</v>
      </c>
      <c r="J842" s="11">
        <v>-1900</v>
      </c>
      <c r="K842" s="11">
        <v>-952</v>
      </c>
      <c r="L842" s="11">
        <f t="shared" si="14"/>
        <v>-2852</v>
      </c>
      <c r="M842" s="11">
        <f t="shared" si="15"/>
        <v>-932</v>
      </c>
    </row>
    <row r="843" spans="1:13">
      <c r="A843" s="7">
        <v>44672</v>
      </c>
      <c r="B843" s="8">
        <v>81.727272727272947</v>
      </c>
      <c r="E843" s="8">
        <v>83.3</v>
      </c>
      <c r="F843" s="10">
        <f>AVERAGE($E$733:E843)</f>
        <v>83.493693693693658</v>
      </c>
      <c r="I843" s="11">
        <v>2500</v>
      </c>
      <c r="J843" s="11">
        <v>-1900</v>
      </c>
      <c r="K843" s="11">
        <v>-845</v>
      </c>
      <c r="L843" s="11">
        <f t="shared" si="14"/>
        <v>-2745</v>
      </c>
      <c r="M843" s="11">
        <f t="shared" si="15"/>
        <v>-245</v>
      </c>
    </row>
    <row r="844" spans="1:13">
      <c r="A844" s="7">
        <v>44673</v>
      </c>
      <c r="B844" s="8">
        <v>81.66115702479361</v>
      </c>
      <c r="E844" s="8">
        <v>83.4</v>
      </c>
      <c r="F844" s="10">
        <f>AVERAGE($E$733:E844)</f>
        <v>83.492857142857105</v>
      </c>
      <c r="I844" s="11">
        <v>2500</v>
      </c>
      <c r="J844" s="11">
        <v>-1900</v>
      </c>
      <c r="K844" s="11">
        <v>-1513</v>
      </c>
      <c r="L844" s="11">
        <f t="shared" si="14"/>
        <v>-3413</v>
      </c>
      <c r="M844" s="11">
        <f t="shared" si="15"/>
        <v>-913</v>
      </c>
    </row>
    <row r="845" spans="1:13">
      <c r="A845" s="7">
        <v>44674</v>
      </c>
      <c r="B845" s="8">
        <v>81.595041322314273</v>
      </c>
      <c r="E845" s="8">
        <v>83.7</v>
      </c>
      <c r="F845" s="10">
        <f>AVERAGE($E$733:E845)</f>
        <v>83.494690265486696</v>
      </c>
      <c r="I845" s="11">
        <v>2500</v>
      </c>
      <c r="J845" s="11">
        <v>-1900</v>
      </c>
      <c r="K845" s="11">
        <v>-1422</v>
      </c>
      <c r="L845" s="11">
        <f t="shared" si="14"/>
        <v>-3322</v>
      </c>
      <c r="M845" s="11">
        <f t="shared" si="15"/>
        <v>-822</v>
      </c>
    </row>
    <row r="846" spans="1:13">
      <c r="A846" s="7">
        <v>44675</v>
      </c>
      <c r="B846" s="8">
        <v>81.528925619834936</v>
      </c>
      <c r="E846" s="8">
        <v>84.1</v>
      </c>
      <c r="F846" s="10">
        <f>AVERAGE($E$733:E846)</f>
        <v>83.499999999999972</v>
      </c>
      <c r="I846" s="11">
        <v>2500</v>
      </c>
      <c r="J846" s="11">
        <v>-1900</v>
      </c>
      <c r="K846" s="11">
        <v>-808</v>
      </c>
      <c r="L846" s="11">
        <f t="shared" si="14"/>
        <v>-2708</v>
      </c>
      <c r="M846" s="11">
        <f t="shared" si="15"/>
        <v>-208</v>
      </c>
    </row>
    <row r="847" spans="1:13">
      <c r="A847" s="7">
        <v>44676</v>
      </c>
      <c r="B847" s="8">
        <v>81.4628099173556</v>
      </c>
      <c r="E847" s="8">
        <v>84.5</v>
      </c>
      <c r="F847" s="10">
        <f>AVERAGE($E$733:E847)</f>
        <v>83.508695652173884</v>
      </c>
      <c r="I847" s="11">
        <v>2500</v>
      </c>
      <c r="J847" s="11">
        <v>-1900</v>
      </c>
      <c r="K847" s="11">
        <v>-1296</v>
      </c>
      <c r="L847" s="11">
        <f t="shared" si="14"/>
        <v>-3196</v>
      </c>
      <c r="M847" s="11">
        <f t="shared" si="15"/>
        <v>-696</v>
      </c>
    </row>
    <row r="848" spans="1:13">
      <c r="A848" s="7">
        <v>44677</v>
      </c>
      <c r="B848" s="8">
        <v>81.396694214876263</v>
      </c>
      <c r="E848" s="8">
        <v>83.8</v>
      </c>
      <c r="F848" s="10">
        <f>AVERAGE($E$733:E848)</f>
        <v>83.511206896551684</v>
      </c>
      <c r="I848" s="11">
        <v>2500</v>
      </c>
      <c r="J848" s="11">
        <v>-1900</v>
      </c>
      <c r="K848" s="11">
        <v>-768</v>
      </c>
      <c r="L848" s="11">
        <f t="shared" si="14"/>
        <v>-2668</v>
      </c>
      <c r="M848" s="11">
        <f t="shared" si="15"/>
        <v>-168</v>
      </c>
    </row>
    <row r="849" spans="1:13">
      <c r="A849" s="7">
        <v>44678</v>
      </c>
      <c r="B849" s="8">
        <v>81.330578512396926</v>
      </c>
      <c r="E849" s="8">
        <v>84.1</v>
      </c>
      <c r="F849" s="10">
        <f>AVERAGE($E$733:E849)</f>
        <v>83.516239316239279</v>
      </c>
      <c r="I849" s="11">
        <v>2500</v>
      </c>
      <c r="J849" s="11">
        <v>-1900</v>
      </c>
      <c r="K849" s="11">
        <v>-745</v>
      </c>
      <c r="L849" s="11">
        <f t="shared" si="14"/>
        <v>-2645</v>
      </c>
      <c r="M849" s="11">
        <f t="shared" si="15"/>
        <v>-145</v>
      </c>
    </row>
    <row r="850" spans="1:13">
      <c r="A850" s="7">
        <v>44679</v>
      </c>
      <c r="B850" s="8">
        <v>81.264462809917589</v>
      </c>
      <c r="E850" s="8">
        <v>84.3</v>
      </c>
      <c r="F850" s="10">
        <f>AVERAGE($E$733:E850)</f>
        <v>83.522881355932157</v>
      </c>
      <c r="I850" s="11">
        <v>2500</v>
      </c>
      <c r="J850" s="11">
        <v>-1900</v>
      </c>
      <c r="K850" s="11">
        <v>-828</v>
      </c>
      <c r="L850" s="11">
        <f t="shared" si="14"/>
        <v>-2728</v>
      </c>
      <c r="M850" s="11">
        <f t="shared" si="15"/>
        <v>-228</v>
      </c>
    </row>
    <row r="851" spans="1:13">
      <c r="A851" s="7">
        <v>44680</v>
      </c>
      <c r="B851" s="8">
        <v>81.198347107438252</v>
      </c>
      <c r="E851" s="8">
        <v>83.4</v>
      </c>
      <c r="F851" s="10">
        <f>AVERAGE($E$733:E851)</f>
        <v>83.521848739495752</v>
      </c>
      <c r="I851" s="11">
        <v>2500</v>
      </c>
      <c r="J851" s="11">
        <v>-1900</v>
      </c>
      <c r="K851" s="11">
        <v>-1182</v>
      </c>
      <c r="L851" s="11">
        <f t="shared" si="14"/>
        <v>-3082</v>
      </c>
      <c r="M851" s="11">
        <f t="shared" si="15"/>
        <v>-582</v>
      </c>
    </row>
    <row r="852" spans="1:13">
      <c r="A852" s="7">
        <v>44681</v>
      </c>
      <c r="B852" s="8">
        <v>81.132231404958915</v>
      </c>
      <c r="E852" s="8">
        <v>84</v>
      </c>
      <c r="F852" s="10">
        <f>AVERAGE($E$733:E852)</f>
        <v>83.525833333333296</v>
      </c>
      <c r="I852" s="11">
        <v>2500</v>
      </c>
      <c r="J852" s="11">
        <v>-1900</v>
      </c>
      <c r="K852" s="11">
        <v>-2104</v>
      </c>
      <c r="L852" s="11">
        <f t="shared" si="14"/>
        <v>-4004</v>
      </c>
      <c r="M852" s="11">
        <f t="shared" si="15"/>
        <v>-1504</v>
      </c>
    </row>
    <row r="853" spans="1:13">
      <c r="A853" s="7">
        <v>44682</v>
      </c>
      <c r="B853" s="8">
        <v>82.966115702479584</v>
      </c>
      <c r="E853" s="8">
        <f>E852+0.2</f>
        <v>84.2</v>
      </c>
      <c r="F853" s="10">
        <f>AVERAGE($E$733:E853)</f>
        <v>83.531404958677655</v>
      </c>
      <c r="I853" s="11">
        <v>2500</v>
      </c>
      <c r="J853" s="11">
        <v>-1900</v>
      </c>
      <c r="K853" s="11">
        <v>-1630</v>
      </c>
      <c r="L853" s="11">
        <f t="shared" si="14"/>
        <v>-3530</v>
      </c>
      <c r="M853" s="11">
        <f t="shared" si="15"/>
        <v>-1030</v>
      </c>
    </row>
    <row r="854" spans="1:13">
      <c r="A854" s="7">
        <v>44683</v>
      </c>
      <c r="B854" s="8">
        <v>82.900000000000247</v>
      </c>
      <c r="E854" s="8">
        <f>E853+0.2</f>
        <v>84.4</v>
      </c>
      <c r="F854" s="10">
        <f>AVERAGE($E$733:E854)</f>
        <v>83.538524590163902</v>
      </c>
      <c r="I854" s="11">
        <v>2500</v>
      </c>
      <c r="J854" s="11">
        <v>-1900</v>
      </c>
      <c r="K854" s="11">
        <v>-652</v>
      </c>
      <c r="L854" s="11">
        <f t="shared" si="14"/>
        <v>-2552</v>
      </c>
      <c r="M854" s="11">
        <f t="shared" si="15"/>
        <v>-52</v>
      </c>
    </row>
    <row r="855" spans="1:13">
      <c r="A855" s="7">
        <v>44684</v>
      </c>
      <c r="B855" s="8">
        <v>82.83388429752091</v>
      </c>
      <c r="E855" s="8">
        <v>84.6</v>
      </c>
      <c r="F855" s="10">
        <f>AVERAGE($E$733:E855)</f>
        <v>83.547154471544687</v>
      </c>
      <c r="I855" s="11">
        <v>2500</v>
      </c>
      <c r="J855" s="11">
        <v>-1900</v>
      </c>
      <c r="K855" s="11">
        <v>-1193</v>
      </c>
      <c r="L855" s="11">
        <f t="shared" si="14"/>
        <v>-3093</v>
      </c>
      <c r="M855" s="11">
        <f t="shared" si="15"/>
        <v>-593</v>
      </c>
    </row>
    <row r="856" spans="1:13">
      <c r="A856" s="7">
        <v>44685</v>
      </c>
      <c r="B856" s="8">
        <v>82.767768595041574</v>
      </c>
      <c r="E856" s="8">
        <v>85.4</v>
      </c>
      <c r="F856" s="10">
        <f>AVERAGE($E$733:E856)</f>
        <v>83.562096774193506</v>
      </c>
      <c r="I856" s="11">
        <v>2500</v>
      </c>
      <c r="J856" s="11">
        <v>-1900</v>
      </c>
      <c r="K856" s="11">
        <v>-661</v>
      </c>
      <c r="L856" s="11">
        <f t="shared" si="14"/>
        <v>-2561</v>
      </c>
      <c r="M856" s="11">
        <f t="shared" si="15"/>
        <v>-61</v>
      </c>
    </row>
    <row r="857" spans="1:13">
      <c r="A857" s="7">
        <v>44686</v>
      </c>
      <c r="B857" s="8">
        <v>82.701652892562237</v>
      </c>
      <c r="E857" s="8">
        <v>84.4</v>
      </c>
      <c r="F857" s="10">
        <f>AVERAGE($E$733:E857)</f>
        <v>83.568799999999953</v>
      </c>
      <c r="I857" s="11">
        <v>2500</v>
      </c>
      <c r="J857" s="11">
        <v>-1900</v>
      </c>
      <c r="K857" s="11">
        <v>-1083</v>
      </c>
      <c r="L857" s="11">
        <f t="shared" si="14"/>
        <v>-2983</v>
      </c>
      <c r="M857" s="11">
        <f t="shared" si="15"/>
        <v>-483</v>
      </c>
    </row>
    <row r="858" spans="1:13">
      <c r="A858" s="7">
        <v>44687</v>
      </c>
      <c r="B858" s="8">
        <v>82.6355371900829</v>
      </c>
      <c r="E858" s="8">
        <v>84</v>
      </c>
      <c r="F858" s="10">
        <f>AVERAGE($E$733:E858)</f>
        <v>83.57222222222218</v>
      </c>
      <c r="I858" s="11">
        <v>2472</v>
      </c>
      <c r="J858" s="11">
        <v>-1900</v>
      </c>
      <c r="K858" s="11">
        <v>-773</v>
      </c>
      <c r="L858" s="11">
        <f t="shared" si="14"/>
        <v>-2673</v>
      </c>
      <c r="M858" s="11">
        <f t="shared" si="15"/>
        <v>-201</v>
      </c>
    </row>
    <row r="859" spans="1:13">
      <c r="A859" s="7">
        <v>44688</v>
      </c>
      <c r="B859" s="8">
        <v>82.569421487603563</v>
      </c>
      <c r="E859" s="8">
        <v>83.4</v>
      </c>
      <c r="F859" s="10">
        <f>AVERAGE($E$733:E859)</f>
        <v>83.570866141732239</v>
      </c>
      <c r="I859" s="11">
        <v>3224</v>
      </c>
      <c r="J859" s="11">
        <v>-1900</v>
      </c>
      <c r="K859" s="11">
        <v>-1335</v>
      </c>
      <c r="L859" s="11">
        <f t="shared" si="14"/>
        <v>-3235</v>
      </c>
      <c r="M859" s="11">
        <f t="shared" si="15"/>
        <v>-11</v>
      </c>
    </row>
    <row r="860" spans="1:13">
      <c r="A860" s="7">
        <v>44689</v>
      </c>
      <c r="B860" s="8">
        <v>82.503305785124226</v>
      </c>
      <c r="E860" s="8">
        <v>83.7</v>
      </c>
      <c r="F860" s="10">
        <f>AVERAGE($E$733:E860)</f>
        <v>83.571874999999963</v>
      </c>
      <c r="I860" s="11">
        <v>3224</v>
      </c>
      <c r="J860" s="11">
        <v>-1900</v>
      </c>
      <c r="K860" s="11">
        <v>-670</v>
      </c>
      <c r="L860" s="11">
        <f t="shared" si="14"/>
        <v>-2570</v>
      </c>
      <c r="M860" s="11">
        <f t="shared" si="15"/>
        <v>654</v>
      </c>
    </row>
    <row r="861" spans="1:13">
      <c r="A861" s="7">
        <v>44690</v>
      </c>
      <c r="B861" s="8">
        <v>82.437190082644889</v>
      </c>
      <c r="E861" s="8">
        <v>84.6</v>
      </c>
      <c r="F861" s="10">
        <f>AVERAGE($E$733:E861)</f>
        <v>83.579844961240269</v>
      </c>
      <c r="I861" s="11">
        <v>2662</v>
      </c>
      <c r="J861" s="11">
        <v>-1900</v>
      </c>
      <c r="K861" s="11">
        <v>-908</v>
      </c>
      <c r="L861" s="11">
        <f t="shared" si="14"/>
        <v>-2808</v>
      </c>
      <c r="M861" s="11">
        <f t="shared" si="15"/>
        <v>-146</v>
      </c>
    </row>
    <row r="862" spans="1:13">
      <c r="A862" s="7">
        <v>44691</v>
      </c>
      <c r="B862" s="8">
        <v>82.371074380165552</v>
      </c>
      <c r="E862" s="8">
        <v>84</v>
      </c>
      <c r="F862" s="10">
        <f>AVERAGE($E$733:E862)</f>
        <v>83.583076923076888</v>
      </c>
      <c r="I862" s="11">
        <v>2054</v>
      </c>
      <c r="J862" s="11">
        <v>-1900</v>
      </c>
      <c r="K862" s="11">
        <v>-1055</v>
      </c>
      <c r="L862" s="11">
        <f t="shared" ref="L862:L925" si="16">SUM(J862:K862)</f>
        <v>-2955</v>
      </c>
      <c r="M862" s="11">
        <f t="shared" ref="M862:M925" si="17">I862+J862+K862</f>
        <v>-901</v>
      </c>
    </row>
    <row r="863" spans="1:13">
      <c r="A863" s="7">
        <v>44692</v>
      </c>
      <c r="B863" s="8">
        <v>82.304958677686216</v>
      </c>
      <c r="E863" s="8">
        <v>83.1</v>
      </c>
      <c r="F863" s="10">
        <f>AVERAGE($E$733:E863)</f>
        <v>83.579389312977071</v>
      </c>
      <c r="I863" s="11">
        <v>2447</v>
      </c>
      <c r="J863" s="11">
        <v>-1900</v>
      </c>
      <c r="K863" s="11">
        <v>-1765</v>
      </c>
      <c r="L863" s="11">
        <f t="shared" si="16"/>
        <v>-3665</v>
      </c>
      <c r="M863" s="11">
        <f t="shared" si="17"/>
        <v>-1218</v>
      </c>
    </row>
    <row r="864" spans="1:13">
      <c r="A864" s="7">
        <v>44693</v>
      </c>
      <c r="B864" s="8">
        <v>82.238842975206879</v>
      </c>
      <c r="E864" s="8">
        <v>83</v>
      </c>
      <c r="F864" s="10">
        <f>AVERAGE($E$733:E864)</f>
        <v>83.574999999999974</v>
      </c>
      <c r="I864" s="11">
        <v>2292</v>
      </c>
      <c r="J864" s="11">
        <v>-1900</v>
      </c>
      <c r="K864" s="11">
        <v>-755</v>
      </c>
      <c r="L864" s="11">
        <f t="shared" si="16"/>
        <v>-2655</v>
      </c>
      <c r="M864" s="11">
        <f t="shared" si="17"/>
        <v>-363</v>
      </c>
    </row>
    <row r="865" spans="1:13">
      <c r="A865" s="7">
        <v>44694</v>
      </c>
      <c r="B865" s="8">
        <v>82.172727272727542</v>
      </c>
      <c r="E865" s="8">
        <v>83.1</v>
      </c>
      <c r="F865" s="10">
        <f>AVERAGE($E$733:E865)</f>
        <v>83.571428571428541</v>
      </c>
      <c r="I865" s="11">
        <v>1897</v>
      </c>
      <c r="J865" s="11">
        <v>-1900</v>
      </c>
      <c r="K865" s="11">
        <v>-1037</v>
      </c>
      <c r="L865" s="11">
        <f t="shared" si="16"/>
        <v>-2937</v>
      </c>
      <c r="M865" s="11">
        <f t="shared" si="17"/>
        <v>-1040</v>
      </c>
    </row>
    <row r="866" spans="1:13">
      <c r="A866" s="7">
        <v>44695</v>
      </c>
      <c r="B866" s="8">
        <v>82.106611570248205</v>
      </c>
      <c r="E866" s="8">
        <v>82.9</v>
      </c>
      <c r="F866" s="10">
        <f>AVERAGE($E$733:E866)</f>
        <v>83.566417910447726</v>
      </c>
      <c r="I866" s="11">
        <v>3624</v>
      </c>
      <c r="J866" s="11">
        <v>-1900</v>
      </c>
      <c r="K866" s="11">
        <v>-3071</v>
      </c>
      <c r="L866" s="11">
        <f t="shared" si="16"/>
        <v>-4971</v>
      </c>
      <c r="M866" s="11">
        <f t="shared" si="17"/>
        <v>-1347</v>
      </c>
    </row>
    <row r="867" spans="1:13">
      <c r="A867" s="7">
        <v>44696</v>
      </c>
      <c r="B867" s="8">
        <v>82.040495867768868</v>
      </c>
      <c r="E867" s="8">
        <v>83</v>
      </c>
      <c r="F867" s="10">
        <f>AVERAGE($E$733:E867)</f>
        <v>83.562222222222189</v>
      </c>
      <c r="I867" s="11">
        <v>2801</v>
      </c>
      <c r="J867" s="11">
        <v>-1900</v>
      </c>
      <c r="K867" s="11">
        <v>-1030</v>
      </c>
      <c r="L867" s="11">
        <f t="shared" si="16"/>
        <v>-2930</v>
      </c>
      <c r="M867" s="11">
        <f t="shared" si="17"/>
        <v>-129</v>
      </c>
    </row>
    <row r="868" spans="1:13">
      <c r="A868" s="7">
        <v>44697</v>
      </c>
      <c r="B868" s="8">
        <v>81.974380165289531</v>
      </c>
      <c r="E868" s="8">
        <v>83.2</v>
      </c>
      <c r="F868" s="10">
        <f>AVERAGE($E$733:E868)</f>
        <v>83.559558823529386</v>
      </c>
      <c r="I868" s="11">
        <v>2491</v>
      </c>
      <c r="J868" s="11">
        <v>-1900</v>
      </c>
      <c r="K868" s="11">
        <v>-1004</v>
      </c>
      <c r="L868" s="11">
        <f t="shared" si="16"/>
        <v>-2904</v>
      </c>
      <c r="M868" s="11">
        <f t="shared" si="17"/>
        <v>-413</v>
      </c>
    </row>
    <row r="869" spans="1:13">
      <c r="A869" s="7">
        <v>44698</v>
      </c>
      <c r="B869" s="8">
        <v>81.908264462810195</v>
      </c>
      <c r="E869" s="8">
        <v>82.6</v>
      </c>
      <c r="F869" s="10">
        <f>AVERAGE($E$733:E869)</f>
        <v>83.552554744525523</v>
      </c>
      <c r="I869" s="11">
        <v>2216</v>
      </c>
      <c r="J869" s="11">
        <v>-1900</v>
      </c>
      <c r="K869" s="11">
        <v>-641</v>
      </c>
      <c r="L869" s="11">
        <f t="shared" si="16"/>
        <v>-2541</v>
      </c>
      <c r="M869" s="11">
        <f t="shared" si="17"/>
        <v>-325</v>
      </c>
    </row>
    <row r="870" spans="1:13">
      <c r="A870" s="7">
        <v>44699</v>
      </c>
      <c r="B870" s="8">
        <v>81.842148760330858</v>
      </c>
      <c r="E870" s="8">
        <v>82</v>
      </c>
      <c r="F870" s="10">
        <f>AVERAGE($E$733:E870)</f>
        <v>83.54130434782607</v>
      </c>
      <c r="I870" s="11">
        <v>2124</v>
      </c>
      <c r="J870" s="11">
        <v>-1900</v>
      </c>
      <c r="K870" s="11">
        <v>-807</v>
      </c>
      <c r="L870" s="11">
        <f t="shared" si="16"/>
        <v>-2707</v>
      </c>
      <c r="M870" s="11">
        <f t="shared" si="17"/>
        <v>-583</v>
      </c>
    </row>
    <row r="871" spans="1:13">
      <c r="A871" s="7">
        <v>44700</v>
      </c>
      <c r="B871" s="8">
        <v>81.776033057851521</v>
      </c>
      <c r="E871" s="8">
        <v>82.2</v>
      </c>
      <c r="F871" s="10">
        <f>AVERAGE($E$733:E871)</f>
        <v>83.531654676258981</v>
      </c>
      <c r="I871" s="11">
        <v>1794</v>
      </c>
      <c r="J871" s="11">
        <v>-1900</v>
      </c>
      <c r="K871" s="11">
        <v>-1113</v>
      </c>
      <c r="L871" s="11">
        <f t="shared" si="16"/>
        <v>-3013</v>
      </c>
      <c r="M871" s="11">
        <f t="shared" si="17"/>
        <v>-1219</v>
      </c>
    </row>
    <row r="872" spans="1:13">
      <c r="A872" s="7">
        <v>44701</v>
      </c>
      <c r="B872" s="8">
        <v>81.709917355372184</v>
      </c>
      <c r="E872" s="8">
        <v>82.1</v>
      </c>
      <c r="F872" s="10">
        <f>AVERAGE($E$733:E872)</f>
        <v>83.521428571428558</v>
      </c>
      <c r="I872" s="11">
        <v>2025</v>
      </c>
      <c r="J872" s="11">
        <v>-1900</v>
      </c>
      <c r="K872" s="11">
        <v>-723</v>
      </c>
      <c r="L872" s="11">
        <f t="shared" si="16"/>
        <v>-2623</v>
      </c>
      <c r="M872" s="11">
        <f t="shared" si="17"/>
        <v>-598</v>
      </c>
    </row>
    <row r="873" spans="1:13">
      <c r="A873" s="7">
        <v>44702</v>
      </c>
      <c r="B873" s="8">
        <v>81.643801652892847</v>
      </c>
      <c r="E873" s="8">
        <v>82.2</v>
      </c>
      <c r="F873" s="10">
        <f>AVERAGE($E$733:E873)</f>
        <v>83.512056737588651</v>
      </c>
      <c r="I873" s="11">
        <v>3293</v>
      </c>
      <c r="J873" s="11">
        <v>-1900</v>
      </c>
      <c r="K873" s="11">
        <v>-1429</v>
      </c>
      <c r="L873" s="11">
        <f t="shared" si="16"/>
        <v>-3329</v>
      </c>
      <c r="M873" s="11">
        <f t="shared" si="17"/>
        <v>-36</v>
      </c>
    </row>
    <row r="874" spans="1:13">
      <c r="A874" s="7">
        <v>44703</v>
      </c>
      <c r="B874" s="8">
        <v>81.57768595041351</v>
      </c>
      <c r="E874" s="8">
        <v>82.2</v>
      </c>
      <c r="F874" s="10">
        <f>AVERAGE($E$733:E874)</f>
        <v>83.502816901408451</v>
      </c>
      <c r="I874" s="11">
        <v>3362</v>
      </c>
      <c r="J874" s="11">
        <v>-1900</v>
      </c>
      <c r="K874" s="11">
        <v>-2751</v>
      </c>
      <c r="L874" s="11">
        <f t="shared" si="16"/>
        <v>-4651</v>
      </c>
      <c r="M874" s="11">
        <f t="shared" si="17"/>
        <v>-1289</v>
      </c>
    </row>
    <row r="875" spans="1:13">
      <c r="A875" s="7">
        <v>44704</v>
      </c>
      <c r="B875" s="8">
        <v>81.511570247934173</v>
      </c>
      <c r="E875" s="8">
        <v>82.2</v>
      </c>
      <c r="F875" s="10">
        <f>AVERAGE($E$733:E875)</f>
        <v>83.493706293706296</v>
      </c>
      <c r="I875" s="11">
        <v>1934</v>
      </c>
      <c r="J875" s="11">
        <v>-1900</v>
      </c>
      <c r="K875" s="11">
        <v>-812</v>
      </c>
      <c r="L875" s="11">
        <f t="shared" si="16"/>
        <v>-2712</v>
      </c>
      <c r="M875" s="11">
        <f t="shared" si="17"/>
        <v>-778</v>
      </c>
    </row>
    <row r="876" spans="1:13">
      <c r="A876" s="7">
        <v>44705</v>
      </c>
      <c r="B876" s="8">
        <v>81.445454545454837</v>
      </c>
      <c r="E876" s="8">
        <v>82.8</v>
      </c>
      <c r="F876" s="10">
        <f>AVERAGE($E$733:E876)</f>
        <v>83.48888888888888</v>
      </c>
      <c r="I876" s="11">
        <v>3937</v>
      </c>
      <c r="J876" s="11">
        <v>-1900</v>
      </c>
      <c r="K876" s="11">
        <v>-1048</v>
      </c>
      <c r="L876" s="11">
        <f t="shared" si="16"/>
        <v>-2948</v>
      </c>
      <c r="M876" s="11">
        <f t="shared" si="17"/>
        <v>989</v>
      </c>
    </row>
    <row r="877" spans="1:13">
      <c r="A877" s="7">
        <v>44706</v>
      </c>
      <c r="B877" s="8">
        <v>81.3793388429755</v>
      </c>
      <c r="E877" s="8">
        <v>83.4</v>
      </c>
      <c r="F877" s="10">
        <f>AVERAGE($E$733:E877)</f>
        <v>83.48827586206896</v>
      </c>
      <c r="I877" s="11">
        <v>1680</v>
      </c>
      <c r="J877" s="11">
        <v>-1900</v>
      </c>
      <c r="K877" s="11">
        <v>-581</v>
      </c>
      <c r="L877" s="11">
        <f t="shared" si="16"/>
        <v>-2481</v>
      </c>
      <c r="M877" s="11">
        <f t="shared" si="17"/>
        <v>-801</v>
      </c>
    </row>
    <row r="878" spans="1:13">
      <c r="A878" s="7">
        <v>44707</v>
      </c>
      <c r="B878" s="8">
        <v>81.313223140496163</v>
      </c>
      <c r="E878" s="8">
        <v>82.9</v>
      </c>
      <c r="F878" s="10">
        <f>AVERAGE($E$733:E878)</f>
        <v>83.484246575342453</v>
      </c>
      <c r="I878" s="11">
        <v>2443</v>
      </c>
      <c r="J878" s="11">
        <v>-1900</v>
      </c>
      <c r="K878" s="11">
        <v>-1209</v>
      </c>
      <c r="L878" s="11">
        <f t="shared" si="16"/>
        <v>-3109</v>
      </c>
      <c r="M878" s="11">
        <f t="shared" si="17"/>
        <v>-666</v>
      </c>
    </row>
    <row r="879" spans="1:13">
      <c r="A879" s="7">
        <v>44708</v>
      </c>
      <c r="B879" s="8">
        <v>81.247107438016826</v>
      </c>
      <c r="E879" s="8">
        <v>82.7</v>
      </c>
      <c r="F879" s="10">
        <f>AVERAGE($E$733:E879)</f>
        <v>83.478911564625847</v>
      </c>
      <c r="I879" s="11">
        <v>2174</v>
      </c>
      <c r="J879" s="11">
        <v>-1900</v>
      </c>
      <c r="K879" s="11">
        <v>-909</v>
      </c>
      <c r="L879" s="11">
        <f t="shared" si="16"/>
        <v>-2809</v>
      </c>
      <c r="M879" s="11">
        <f t="shared" si="17"/>
        <v>-635</v>
      </c>
    </row>
    <row r="880" spans="1:13">
      <c r="A880" s="7">
        <v>44709</v>
      </c>
      <c r="B880" s="8">
        <v>81.180991735537489</v>
      </c>
      <c r="E880" s="8">
        <v>82.4</v>
      </c>
      <c r="F880" s="10">
        <f>AVERAGE($E$733:E880)</f>
        <v>83.471621621621622</v>
      </c>
      <c r="I880" s="11">
        <v>2888</v>
      </c>
      <c r="J880" s="11">
        <v>-1900</v>
      </c>
      <c r="K880" s="11">
        <v>-605</v>
      </c>
      <c r="L880" s="11">
        <f t="shared" si="16"/>
        <v>-2505</v>
      </c>
      <c r="M880" s="11">
        <f t="shared" si="17"/>
        <v>383</v>
      </c>
    </row>
    <row r="881" spans="1:13">
      <c r="A881" s="7">
        <v>44710</v>
      </c>
      <c r="B881" s="8">
        <v>81.114876033058152</v>
      </c>
      <c r="E881" s="8">
        <v>81.8</v>
      </c>
      <c r="F881" s="10">
        <f>AVERAGE($E$733:E881)</f>
        <v>83.460402684563746</v>
      </c>
      <c r="I881" s="11">
        <v>3083</v>
      </c>
      <c r="J881" s="11">
        <v>-1900</v>
      </c>
      <c r="K881" s="11">
        <v>-4451</v>
      </c>
      <c r="L881" s="11">
        <f t="shared" si="16"/>
        <v>-6351</v>
      </c>
      <c r="M881" s="11">
        <f t="shared" si="17"/>
        <v>-3268</v>
      </c>
    </row>
    <row r="882" spans="1:13">
      <c r="A882" s="7">
        <v>44711</v>
      </c>
      <c r="B882" s="8">
        <v>81.048760330578816</v>
      </c>
      <c r="E882" s="8">
        <v>82.7</v>
      </c>
      <c r="F882" s="10">
        <f>AVERAGE($E$733:E882)</f>
        <v>83.455333333333328</v>
      </c>
      <c r="I882" s="11">
        <v>2240</v>
      </c>
      <c r="J882" s="11">
        <v>-1900</v>
      </c>
      <c r="K882" s="11">
        <v>-1054</v>
      </c>
      <c r="L882" s="11">
        <f t="shared" si="16"/>
        <v>-2954</v>
      </c>
      <c r="M882" s="11">
        <f t="shared" si="17"/>
        <v>-714</v>
      </c>
    </row>
    <row r="883" spans="1:13">
      <c r="A883" s="7">
        <v>44712</v>
      </c>
      <c r="B883" s="8">
        <v>80.982644628099479</v>
      </c>
      <c r="E883" s="8">
        <v>82.4</v>
      </c>
      <c r="F883" s="10">
        <f>AVERAGE($E$733:E883)</f>
        <v>83.448344370860923</v>
      </c>
      <c r="I883" s="11">
        <v>2113</v>
      </c>
      <c r="J883" s="11">
        <v>-1900</v>
      </c>
      <c r="K883" s="11">
        <v>-770</v>
      </c>
      <c r="L883" s="11">
        <f t="shared" si="16"/>
        <v>-2670</v>
      </c>
      <c r="M883" s="11">
        <f t="shared" si="17"/>
        <v>-557</v>
      </c>
    </row>
    <row r="884" spans="1:13">
      <c r="A884" s="7">
        <v>44713</v>
      </c>
      <c r="B884" s="8">
        <v>82.016528925620136</v>
      </c>
      <c r="E884" s="8">
        <v>82.8</v>
      </c>
      <c r="F884" s="10">
        <f>AVERAGE($E$733:E884)</f>
        <v>83.444078947368411</v>
      </c>
      <c r="I884" s="11">
        <v>2749</v>
      </c>
      <c r="J884" s="11">
        <v>-1900</v>
      </c>
      <c r="K884" s="11">
        <v>-936</v>
      </c>
      <c r="L884" s="11">
        <f t="shared" si="16"/>
        <v>-2836</v>
      </c>
      <c r="M884" s="11">
        <f t="shared" si="17"/>
        <v>-87</v>
      </c>
    </row>
    <row r="885" spans="1:13">
      <c r="A885" s="7">
        <v>44714</v>
      </c>
      <c r="B885" s="8">
        <v>81.950413223140799</v>
      </c>
      <c r="E885" s="8">
        <v>82.4</v>
      </c>
      <c r="F885" s="10">
        <f>AVERAGE($E$733:E885)</f>
        <v>83.43725490196077</v>
      </c>
      <c r="I885" s="11">
        <v>4069</v>
      </c>
      <c r="J885" s="11">
        <v>-1900</v>
      </c>
      <c r="K885" s="11">
        <v>-1219</v>
      </c>
      <c r="L885" s="11">
        <f t="shared" si="16"/>
        <v>-3119</v>
      </c>
      <c r="M885" s="11">
        <f t="shared" si="17"/>
        <v>950</v>
      </c>
    </row>
    <row r="886" spans="1:13">
      <c r="A886" s="7">
        <v>44715</v>
      </c>
      <c r="B886" s="8">
        <v>81.884297520661462</v>
      </c>
      <c r="E886" s="8">
        <v>83.8</v>
      </c>
      <c r="F886" s="10">
        <f>AVERAGE($E$733:E886)</f>
        <v>83.439610389610365</v>
      </c>
      <c r="I886" s="11">
        <v>1902</v>
      </c>
      <c r="J886" s="11">
        <v>-1900</v>
      </c>
      <c r="K886" s="11">
        <v>-596</v>
      </c>
      <c r="L886" s="11">
        <f t="shared" si="16"/>
        <v>-2496</v>
      </c>
      <c r="M886" s="11">
        <f t="shared" si="17"/>
        <v>-594</v>
      </c>
    </row>
    <row r="887" spans="1:13">
      <c r="A887" s="7">
        <v>44716</v>
      </c>
      <c r="B887" s="8">
        <v>81.818181818182126</v>
      </c>
      <c r="E887" s="8">
        <v>82.4</v>
      </c>
      <c r="F887" s="10">
        <f>AVERAGE($E$733:E887)</f>
        <v>83.432903225806427</v>
      </c>
      <c r="I887" s="11">
        <v>2800</v>
      </c>
      <c r="J887" s="11">
        <v>-1900</v>
      </c>
      <c r="K887" s="11">
        <v>-832</v>
      </c>
      <c r="L887" s="11">
        <f t="shared" si="16"/>
        <v>-2732</v>
      </c>
      <c r="M887" s="11">
        <f t="shared" si="17"/>
        <v>68</v>
      </c>
    </row>
    <row r="888" spans="1:13">
      <c r="A888" s="7">
        <v>44717</v>
      </c>
      <c r="B888" s="8">
        <v>81.752066115702789</v>
      </c>
      <c r="E888" s="8">
        <v>82.3</v>
      </c>
      <c r="F888" s="10">
        <f>AVERAGE($E$733:E888)</f>
        <v>83.425641025640999</v>
      </c>
      <c r="I888" s="11">
        <v>2800</v>
      </c>
      <c r="J888" s="11">
        <v>-1900</v>
      </c>
      <c r="K888" s="11">
        <v>-1021</v>
      </c>
      <c r="L888" s="11">
        <f t="shared" si="16"/>
        <v>-2921</v>
      </c>
      <c r="M888" s="11">
        <f t="shared" si="17"/>
        <v>-121</v>
      </c>
    </row>
    <row r="889" spans="1:13">
      <c r="A889" s="7">
        <v>44718</v>
      </c>
      <c r="B889" s="8">
        <v>81.685950413223452</v>
      </c>
      <c r="E889" s="8">
        <v>82.2</v>
      </c>
      <c r="F889" s="10">
        <f>AVERAGE($E$733:E889)</f>
        <v>83.417834394904432</v>
      </c>
      <c r="I889" s="11">
        <v>2800</v>
      </c>
      <c r="J889" s="11">
        <v>-1900</v>
      </c>
      <c r="K889" s="11">
        <v>-656</v>
      </c>
      <c r="L889" s="11">
        <f t="shared" si="16"/>
        <v>-2556</v>
      </c>
      <c r="M889" s="11">
        <f t="shared" si="17"/>
        <v>244</v>
      </c>
    </row>
    <row r="890" spans="1:13">
      <c r="A890" s="7">
        <v>44719</v>
      </c>
      <c r="B890" s="8">
        <v>81.619834710744115</v>
      </c>
      <c r="E890" s="8">
        <v>83.1</v>
      </c>
      <c r="F890" s="10">
        <f>AVERAGE($E$733:E890)</f>
        <v>83.415822784810103</v>
      </c>
      <c r="I890" s="11">
        <v>2800</v>
      </c>
      <c r="J890" s="11">
        <v>-1900</v>
      </c>
      <c r="K890" s="11">
        <v>-595</v>
      </c>
      <c r="L890" s="11">
        <f t="shared" si="16"/>
        <v>-2495</v>
      </c>
      <c r="M890" s="11">
        <f t="shared" si="17"/>
        <v>305</v>
      </c>
    </row>
    <row r="891" spans="1:13">
      <c r="A891" s="7">
        <v>44720</v>
      </c>
      <c r="B891" s="8">
        <v>81.553719008264778</v>
      </c>
      <c r="E891" s="8">
        <v>83.1</v>
      </c>
      <c r="F891" s="10">
        <f>AVERAGE($E$733:E891)</f>
        <v>83.413836477987402</v>
      </c>
      <c r="I891" s="11">
        <v>2850</v>
      </c>
      <c r="J891" s="11">
        <v>-1900</v>
      </c>
      <c r="K891" s="11">
        <v>-868</v>
      </c>
      <c r="L891" s="11">
        <f t="shared" si="16"/>
        <v>-2768</v>
      </c>
      <c r="M891" s="11">
        <f t="shared" si="17"/>
        <v>82</v>
      </c>
    </row>
    <row r="892" spans="1:13">
      <c r="A892" s="7">
        <v>44721</v>
      </c>
      <c r="B892" s="8">
        <v>81.487603305785441</v>
      </c>
      <c r="E892" s="8">
        <v>83.2</v>
      </c>
      <c r="F892" s="10">
        <f>AVERAGE($E$733:E892)</f>
        <v>83.412499999999994</v>
      </c>
      <c r="I892" s="11">
        <v>2558</v>
      </c>
      <c r="J892" s="11">
        <v>-1900</v>
      </c>
      <c r="K892" s="11">
        <v>-872</v>
      </c>
      <c r="L892" s="11">
        <f t="shared" si="16"/>
        <v>-2772</v>
      </c>
      <c r="M892" s="11">
        <f t="shared" si="17"/>
        <v>-214</v>
      </c>
    </row>
    <row r="893" spans="1:13">
      <c r="A893" s="7">
        <v>44722</v>
      </c>
      <c r="B893" s="8">
        <v>81.421487603306105</v>
      </c>
      <c r="E893" s="8">
        <v>82.9</v>
      </c>
      <c r="F893" s="10">
        <f>AVERAGE($E$733:E893)</f>
        <v>83.409316770186322</v>
      </c>
      <c r="I893" s="11">
        <v>2542</v>
      </c>
      <c r="J893" s="11">
        <v>-1900</v>
      </c>
      <c r="K893" s="11">
        <v>-1058</v>
      </c>
      <c r="L893" s="11">
        <f t="shared" si="16"/>
        <v>-2958</v>
      </c>
      <c r="M893" s="11">
        <f t="shared" si="17"/>
        <v>-416</v>
      </c>
    </row>
    <row r="894" spans="1:13">
      <c r="A894" s="7">
        <v>44723</v>
      </c>
      <c r="B894" s="8">
        <v>81.355371900826768</v>
      </c>
      <c r="E894" s="8">
        <v>82.2</v>
      </c>
      <c r="F894" s="10">
        <f>AVERAGE($E$733:E894)</f>
        <v>83.401851851851845</v>
      </c>
      <c r="I894" s="11">
        <v>2800</v>
      </c>
      <c r="J894" s="11">
        <v>-1900</v>
      </c>
      <c r="K894" s="11">
        <v>-1382</v>
      </c>
      <c r="L894" s="11">
        <f t="shared" si="16"/>
        <v>-3282</v>
      </c>
      <c r="M894" s="11">
        <f t="shared" si="17"/>
        <v>-482</v>
      </c>
    </row>
    <row r="895" spans="1:13">
      <c r="A895" s="7">
        <v>44724</v>
      </c>
      <c r="B895" s="8">
        <v>81.289256198347431</v>
      </c>
      <c r="E895" s="8">
        <v>82.7</v>
      </c>
      <c r="F895" s="10">
        <f>AVERAGE($E$733:E895)</f>
        <v>83.397546012269927</v>
      </c>
      <c r="I895" s="11">
        <v>2800</v>
      </c>
      <c r="J895" s="11">
        <v>-1900</v>
      </c>
      <c r="K895" s="11">
        <v>-2306</v>
      </c>
      <c r="L895" s="11">
        <f t="shared" si="16"/>
        <v>-4206</v>
      </c>
      <c r="M895" s="11">
        <f t="shared" si="17"/>
        <v>-1406</v>
      </c>
    </row>
    <row r="896" spans="1:13">
      <c r="A896" s="7">
        <v>44725</v>
      </c>
      <c r="B896" s="8">
        <v>81.223140495868094</v>
      </c>
      <c r="E896" s="8">
        <v>84.3</v>
      </c>
      <c r="F896" s="10">
        <f>AVERAGE($E$733:E896)</f>
        <v>83.403048780487794</v>
      </c>
      <c r="I896" s="11">
        <v>2800</v>
      </c>
      <c r="J896" s="11">
        <v>-1900</v>
      </c>
      <c r="K896" s="11">
        <v>-582</v>
      </c>
      <c r="L896" s="11">
        <f t="shared" si="16"/>
        <v>-2482</v>
      </c>
      <c r="M896" s="11">
        <f t="shared" si="17"/>
        <v>318</v>
      </c>
    </row>
    <row r="897" spans="1:13">
      <c r="A897" s="7">
        <v>44726</v>
      </c>
      <c r="B897" s="8">
        <v>81.157024793388757</v>
      </c>
      <c r="E897" s="8">
        <v>84.1</v>
      </c>
      <c r="F897" s="10">
        <f>AVERAGE($E$733:E897)</f>
        <v>83.407272727272726</v>
      </c>
      <c r="I897" s="11">
        <v>2800</v>
      </c>
      <c r="J897" s="11">
        <v>-1900</v>
      </c>
      <c r="K897" s="11">
        <v>-1057</v>
      </c>
      <c r="L897" s="11">
        <f t="shared" si="16"/>
        <v>-2957</v>
      </c>
      <c r="M897" s="11">
        <f t="shared" si="17"/>
        <v>-157</v>
      </c>
    </row>
    <row r="898" spans="1:13">
      <c r="A898" s="7">
        <v>44727</v>
      </c>
      <c r="B898" s="8">
        <v>81.09090909090942</v>
      </c>
      <c r="E898" s="8">
        <v>82.8</v>
      </c>
      <c r="F898" s="10">
        <f>AVERAGE($E$733:E898)</f>
        <v>83.40361445783131</v>
      </c>
      <c r="I898" s="11">
        <v>2523</v>
      </c>
      <c r="J898" s="11">
        <v>-1900</v>
      </c>
      <c r="K898" s="11">
        <v>-679</v>
      </c>
      <c r="L898" s="11">
        <f t="shared" si="16"/>
        <v>-2579</v>
      </c>
      <c r="M898" s="11">
        <f t="shared" si="17"/>
        <v>-56</v>
      </c>
    </row>
    <row r="899" spans="1:13">
      <c r="A899" s="7">
        <v>44728</v>
      </c>
      <c r="B899" s="8">
        <v>81.024793388430083</v>
      </c>
      <c r="E899" s="8">
        <v>82.4</v>
      </c>
      <c r="F899" s="10">
        <f>AVERAGE($E$733:E899)</f>
        <v>83.397604790419152</v>
      </c>
      <c r="I899" s="11">
        <v>2824</v>
      </c>
      <c r="J899" s="11">
        <v>-1900</v>
      </c>
      <c r="K899" s="11">
        <v>-914</v>
      </c>
      <c r="L899" s="11">
        <f t="shared" si="16"/>
        <v>-2814</v>
      </c>
      <c r="M899" s="11">
        <f t="shared" si="17"/>
        <v>10</v>
      </c>
    </row>
    <row r="900" spans="1:13">
      <c r="A900" s="7">
        <v>44729</v>
      </c>
      <c r="B900" s="8">
        <v>80.958677685950747</v>
      </c>
      <c r="E900" s="8">
        <v>83.1</v>
      </c>
      <c r="F900" s="10">
        <f>AVERAGE($E$733:E900)</f>
        <v>83.395833333333329</v>
      </c>
      <c r="I900" s="11">
        <v>2800</v>
      </c>
      <c r="J900" s="11">
        <v>-1900</v>
      </c>
      <c r="K900" s="11">
        <v>-554</v>
      </c>
      <c r="L900" s="11">
        <f t="shared" si="16"/>
        <v>-2454</v>
      </c>
      <c r="M900" s="11">
        <f t="shared" si="17"/>
        <v>346</v>
      </c>
    </row>
    <row r="901" spans="1:13">
      <c r="A901" s="7">
        <v>44730</v>
      </c>
      <c r="B901" s="8">
        <v>80.89256198347141</v>
      </c>
      <c r="E901" s="8">
        <f>E900+0.9</f>
        <v>84</v>
      </c>
      <c r="F901" s="10">
        <f>AVERAGE($E$733:E901)</f>
        <v>83.399408284023664</v>
      </c>
      <c r="I901" s="11">
        <v>2800</v>
      </c>
      <c r="J901" s="11">
        <v>-1900</v>
      </c>
      <c r="K901" s="11">
        <v>-2967</v>
      </c>
      <c r="L901" s="11">
        <f t="shared" si="16"/>
        <v>-4867</v>
      </c>
      <c r="M901" s="11">
        <f t="shared" si="17"/>
        <v>-2067</v>
      </c>
    </row>
    <row r="902" spans="1:13">
      <c r="A902" s="7">
        <v>44731</v>
      </c>
      <c r="B902" s="8">
        <v>80.826446280992073</v>
      </c>
      <c r="E902" s="8">
        <f>E901+0.9</f>
        <v>84.9</v>
      </c>
      <c r="F902" s="10">
        <f>AVERAGE($E$733:E902)</f>
        <v>83.408235294117631</v>
      </c>
      <c r="I902" s="11">
        <v>2800</v>
      </c>
      <c r="J902" s="11">
        <v>-1900</v>
      </c>
      <c r="K902" s="11">
        <v>-571</v>
      </c>
      <c r="L902" s="11">
        <f t="shared" si="16"/>
        <v>-2471</v>
      </c>
      <c r="M902" s="11">
        <f t="shared" si="17"/>
        <v>329</v>
      </c>
    </row>
    <row r="903" spans="1:13">
      <c r="A903" s="7">
        <v>44732</v>
      </c>
      <c r="B903" s="8">
        <v>80.760330578512736</v>
      </c>
      <c r="E903" s="8">
        <v>85.7</v>
      </c>
      <c r="F903" s="10">
        <f>AVERAGE($E$733:E903)</f>
        <v>83.421637426900574</v>
      </c>
      <c r="I903" s="11">
        <v>2069</v>
      </c>
      <c r="J903" s="11">
        <v>-1900</v>
      </c>
      <c r="K903" s="11">
        <v>-1102</v>
      </c>
      <c r="L903" s="11">
        <f t="shared" si="16"/>
        <v>-3002</v>
      </c>
      <c r="M903" s="11">
        <f t="shared" si="17"/>
        <v>-933</v>
      </c>
    </row>
    <row r="904" spans="1:13">
      <c r="A904" s="7">
        <v>44733</v>
      </c>
      <c r="B904" s="8">
        <v>80.694214876033399</v>
      </c>
      <c r="E904" s="8">
        <v>83.8</v>
      </c>
      <c r="F904" s="10">
        <f>AVERAGE($E$733:E904)</f>
        <v>83.423837209302306</v>
      </c>
      <c r="I904" s="11">
        <v>2332</v>
      </c>
      <c r="J904" s="11">
        <v>-1900</v>
      </c>
      <c r="K904" s="11">
        <v>-779</v>
      </c>
      <c r="L904" s="11">
        <f t="shared" si="16"/>
        <v>-2679</v>
      </c>
      <c r="M904" s="11">
        <f t="shared" si="17"/>
        <v>-347</v>
      </c>
    </row>
    <row r="905" spans="1:13">
      <c r="A905" s="7">
        <v>44734</v>
      </c>
      <c r="B905" s="8">
        <v>80.628099173554062</v>
      </c>
      <c r="E905" s="8">
        <v>82.5</v>
      </c>
      <c r="F905" s="10">
        <f>AVERAGE($E$733:E905)</f>
        <v>83.418497109826575</v>
      </c>
      <c r="I905" s="11">
        <v>2236</v>
      </c>
      <c r="J905" s="11">
        <v>-1900</v>
      </c>
      <c r="K905" s="11">
        <v>-1184</v>
      </c>
      <c r="L905" s="11">
        <f t="shared" si="16"/>
        <v>-3084</v>
      </c>
      <c r="M905" s="11">
        <f t="shared" si="17"/>
        <v>-848</v>
      </c>
    </row>
    <row r="906" spans="1:13">
      <c r="A906" s="7">
        <v>44735</v>
      </c>
      <c r="B906" s="8">
        <v>80.561983471074726</v>
      </c>
      <c r="E906" s="8">
        <v>83.1</v>
      </c>
      <c r="F906" s="10">
        <f>AVERAGE($E$733:E906)</f>
        <v>83.416666666666657</v>
      </c>
      <c r="I906" s="11">
        <v>2488</v>
      </c>
      <c r="J906" s="11">
        <v>-1900</v>
      </c>
      <c r="K906" s="11">
        <v>-807</v>
      </c>
      <c r="L906" s="11">
        <f t="shared" si="16"/>
        <v>-2707</v>
      </c>
      <c r="M906" s="11">
        <f t="shared" si="17"/>
        <v>-219</v>
      </c>
    </row>
    <row r="907" spans="1:13">
      <c r="A907" s="7">
        <v>44736</v>
      </c>
      <c r="B907" s="8">
        <v>80.495867768595389</v>
      </c>
      <c r="E907" s="8">
        <v>83.9</v>
      </c>
      <c r="F907" s="10">
        <f>AVERAGE($E$733:E907)</f>
        <v>83.419428571428554</v>
      </c>
      <c r="I907" s="11">
        <v>2295</v>
      </c>
      <c r="J907" s="11">
        <v>-1900</v>
      </c>
      <c r="K907" s="11">
        <v>-756</v>
      </c>
      <c r="L907" s="11">
        <f t="shared" si="16"/>
        <v>-2656</v>
      </c>
      <c r="M907" s="11">
        <f t="shared" si="17"/>
        <v>-361</v>
      </c>
    </row>
    <row r="908" spans="1:13">
      <c r="A908" s="7">
        <v>44737</v>
      </c>
      <c r="B908" s="8">
        <v>80.429752066116052</v>
      </c>
      <c r="E908" s="8">
        <v>82.6</v>
      </c>
      <c r="F908" s="10">
        <f>AVERAGE($E$733:E908)</f>
        <v>83.41477272727272</v>
      </c>
      <c r="I908" s="11">
        <v>3000</v>
      </c>
      <c r="J908" s="11">
        <v>-1900</v>
      </c>
      <c r="K908" s="11">
        <v>-2464</v>
      </c>
      <c r="L908" s="11">
        <f t="shared" si="16"/>
        <v>-4364</v>
      </c>
      <c r="M908" s="11">
        <f t="shared" si="17"/>
        <v>-1364</v>
      </c>
    </row>
    <row r="909" spans="1:13">
      <c r="A909" s="7">
        <v>44738</v>
      </c>
      <c r="B909" s="8">
        <v>80.363636363636715</v>
      </c>
      <c r="E909" s="8">
        <v>83</v>
      </c>
      <c r="F909" s="10">
        <f>AVERAGE($E$733:E909)</f>
        <v>83.412429378531058</v>
      </c>
      <c r="I909" s="11">
        <v>3000</v>
      </c>
      <c r="J909" s="11">
        <v>-1900</v>
      </c>
      <c r="K909" s="11">
        <v>-872</v>
      </c>
      <c r="L909" s="11">
        <f t="shared" si="16"/>
        <v>-2772</v>
      </c>
      <c r="M909" s="11">
        <f t="shared" si="17"/>
        <v>228</v>
      </c>
    </row>
    <row r="910" spans="1:13">
      <c r="A910" s="7">
        <v>44739</v>
      </c>
      <c r="B910" s="8">
        <v>80.297520661157378</v>
      </c>
      <c r="E910" s="8">
        <v>84.2</v>
      </c>
      <c r="F910" s="10">
        <f>AVERAGE($E$733:E910)</f>
        <v>83.41685393258426</v>
      </c>
      <c r="I910" s="11">
        <v>3124</v>
      </c>
      <c r="J910" s="11">
        <v>-1900</v>
      </c>
      <c r="K910" s="11">
        <v>-859</v>
      </c>
      <c r="L910" s="11">
        <f t="shared" si="16"/>
        <v>-2759</v>
      </c>
      <c r="M910" s="11">
        <f t="shared" si="17"/>
        <v>365</v>
      </c>
    </row>
    <row r="911" spans="1:13">
      <c r="A911" s="7">
        <v>44740</v>
      </c>
      <c r="B911" s="8">
        <v>80.231404958678041</v>
      </c>
      <c r="E911" s="8">
        <v>84.5</v>
      </c>
      <c r="F911" s="10">
        <f>AVERAGE($E$733:E911)</f>
        <v>83.422905027932956</v>
      </c>
      <c r="I911" s="11">
        <v>2401</v>
      </c>
      <c r="J911" s="11">
        <v>-1900</v>
      </c>
      <c r="K911" s="11">
        <v>-683</v>
      </c>
      <c r="L911" s="11">
        <f t="shared" si="16"/>
        <v>-2583</v>
      </c>
      <c r="M911" s="11">
        <f t="shared" si="17"/>
        <v>-182</v>
      </c>
    </row>
    <row r="912" spans="1:13">
      <c r="A912" s="7">
        <v>44741</v>
      </c>
      <c r="B912" s="8">
        <v>80.165289256198704</v>
      </c>
      <c r="E912" s="8">
        <v>83.5</v>
      </c>
      <c r="F912" s="10">
        <f>AVERAGE($E$733:E912)</f>
        <v>83.423333333333332</v>
      </c>
      <c r="I912" s="11">
        <v>2534</v>
      </c>
      <c r="J912" s="11">
        <v>-1900</v>
      </c>
      <c r="K912" s="11">
        <v>-1140</v>
      </c>
      <c r="L912" s="11">
        <f t="shared" si="16"/>
        <v>-3040</v>
      </c>
      <c r="M912" s="11">
        <f t="shared" si="17"/>
        <v>-506</v>
      </c>
    </row>
    <row r="913" spans="1:13">
      <c r="A913" s="7">
        <v>44742</v>
      </c>
      <c r="B913" s="8">
        <v>80.099173553719368</v>
      </c>
      <c r="E913" s="8">
        <v>83.1</v>
      </c>
      <c r="F913" s="10">
        <f>AVERAGE($E$733:E913)</f>
        <v>83.421546961325959</v>
      </c>
      <c r="I913" s="11">
        <v>2527</v>
      </c>
      <c r="J913" s="11">
        <v>-1900</v>
      </c>
      <c r="K913" s="11">
        <v>-1825</v>
      </c>
      <c r="L913" s="11">
        <f t="shared" si="16"/>
        <v>-3725</v>
      </c>
      <c r="M913" s="11">
        <f t="shared" si="17"/>
        <v>-1198</v>
      </c>
    </row>
    <row r="914" spans="1:13">
      <c r="A914" s="7">
        <v>44743</v>
      </c>
      <c r="B914" s="8">
        <v>82.033057851240031</v>
      </c>
      <c r="E914" s="8">
        <v>83.1</v>
      </c>
      <c r="F914" s="10">
        <f>AVERAGE($E$733:E914)</f>
        <v>83.419780219780222</v>
      </c>
      <c r="I914" s="11">
        <v>3171</v>
      </c>
      <c r="J914" s="11">
        <v>-1900</v>
      </c>
      <c r="K914" s="11">
        <v>-764</v>
      </c>
      <c r="L914" s="11">
        <f t="shared" si="16"/>
        <v>-2664</v>
      </c>
      <c r="M914" s="11">
        <f t="shared" si="17"/>
        <v>507</v>
      </c>
    </row>
    <row r="915" spans="1:13">
      <c r="A915" s="7">
        <v>44744</v>
      </c>
      <c r="B915" s="8">
        <v>81.966942148760694</v>
      </c>
      <c r="E915" s="8">
        <v>83</v>
      </c>
      <c r="F915" s="10">
        <f>AVERAGE($E$733:E915)</f>
        <v>83.417486338797815</v>
      </c>
      <c r="I915" s="11">
        <v>3500</v>
      </c>
      <c r="J915" s="11">
        <v>-1900</v>
      </c>
      <c r="K915" s="11">
        <v>-4650</v>
      </c>
      <c r="L915" s="11">
        <f t="shared" si="16"/>
        <v>-6550</v>
      </c>
      <c r="M915" s="11">
        <f t="shared" si="17"/>
        <v>-3050</v>
      </c>
    </row>
    <row r="916" spans="1:13">
      <c r="A916" s="7">
        <v>44745</v>
      </c>
      <c r="B916" s="8">
        <v>81.900826446281357</v>
      </c>
      <c r="E916" s="8">
        <v>83.2</v>
      </c>
      <c r="F916" s="10">
        <f>AVERAGE($E$733:E916)</f>
        <v>83.416304347826085</v>
      </c>
      <c r="I916" s="11">
        <v>2500</v>
      </c>
      <c r="J916" s="11">
        <v>-1900</v>
      </c>
      <c r="K916" s="11">
        <v>-568</v>
      </c>
      <c r="L916" s="11">
        <f t="shared" si="16"/>
        <v>-2468</v>
      </c>
      <c r="M916" s="11">
        <f t="shared" si="17"/>
        <v>32</v>
      </c>
    </row>
    <row r="917" spans="1:13">
      <c r="A917" s="7">
        <v>44746</v>
      </c>
      <c r="B917" s="8">
        <v>81.83471074380202</v>
      </c>
      <c r="E917" s="8">
        <v>84.5</v>
      </c>
      <c r="F917" s="10">
        <f>AVERAGE($E$733:E917)</f>
        <v>83.422162162162167</v>
      </c>
      <c r="I917" s="11">
        <v>1974</v>
      </c>
      <c r="J917" s="11">
        <v>-1900</v>
      </c>
      <c r="K917" s="11">
        <v>-1014</v>
      </c>
      <c r="L917" s="11">
        <f t="shared" si="16"/>
        <v>-2914</v>
      </c>
      <c r="M917" s="11">
        <f t="shared" si="17"/>
        <v>-940</v>
      </c>
    </row>
    <row r="918" spans="1:13">
      <c r="A918" s="7">
        <v>44747</v>
      </c>
      <c r="B918" s="8">
        <v>81.768595041322683</v>
      </c>
      <c r="E918" s="8">
        <v>82.4</v>
      </c>
      <c r="F918" s="10">
        <f>AVERAGE($E$733:E918)</f>
        <v>83.416666666666671</v>
      </c>
      <c r="I918" s="11">
        <v>2741</v>
      </c>
      <c r="J918" s="11">
        <v>-1900</v>
      </c>
      <c r="K918" s="11">
        <v>-616</v>
      </c>
      <c r="L918" s="11">
        <f t="shared" si="16"/>
        <v>-2516</v>
      </c>
      <c r="M918" s="11">
        <f t="shared" si="17"/>
        <v>225</v>
      </c>
    </row>
    <row r="919" spans="1:13">
      <c r="A919" s="7">
        <v>44748</v>
      </c>
      <c r="B919" s="8">
        <v>81.702479338843347</v>
      </c>
      <c r="E919" s="8">
        <v>83</v>
      </c>
      <c r="F919" s="10">
        <f>AVERAGE($E$733:E919)</f>
        <v>83.414438502673804</v>
      </c>
      <c r="I919" s="11">
        <v>2919</v>
      </c>
      <c r="J919" s="11">
        <v>-1900</v>
      </c>
      <c r="K919" s="11">
        <v>-858</v>
      </c>
      <c r="L919" s="11">
        <f t="shared" si="16"/>
        <v>-2758</v>
      </c>
      <c r="M919" s="11">
        <f t="shared" si="17"/>
        <v>161</v>
      </c>
    </row>
    <row r="920" spans="1:13">
      <c r="A920" s="7">
        <v>44749</v>
      </c>
      <c r="B920" s="8">
        <v>81.63636363636401</v>
      </c>
      <c r="E920" s="8">
        <v>83.8</v>
      </c>
      <c r="F920" s="10">
        <f>AVERAGE($E$733:E920)</f>
        <v>83.416489361702119</v>
      </c>
      <c r="I920" s="11">
        <v>2328</v>
      </c>
      <c r="J920" s="11">
        <v>-1900</v>
      </c>
      <c r="K920" s="11">
        <v>-1910</v>
      </c>
      <c r="L920" s="11">
        <f t="shared" si="16"/>
        <v>-3810</v>
      </c>
      <c r="M920" s="11">
        <f t="shared" si="17"/>
        <v>-1482</v>
      </c>
    </row>
    <row r="921" spans="1:13">
      <c r="A921" s="7">
        <v>44750</v>
      </c>
      <c r="B921" s="8">
        <v>81.570247933884673</v>
      </c>
      <c r="E921" s="8">
        <v>83</v>
      </c>
      <c r="F921" s="10">
        <f>AVERAGE($E$733:E921)</f>
        <v>83.414285714285711</v>
      </c>
      <c r="I921" s="11">
        <v>2245</v>
      </c>
      <c r="J921" s="11">
        <v>-1900</v>
      </c>
      <c r="K921" s="11">
        <v>-789</v>
      </c>
      <c r="L921" s="11">
        <f t="shared" si="16"/>
        <v>-2689</v>
      </c>
      <c r="M921" s="11">
        <f t="shared" si="17"/>
        <v>-444</v>
      </c>
    </row>
    <row r="922" spans="1:13">
      <c r="A922" s="7">
        <v>44751</v>
      </c>
      <c r="B922" s="8">
        <v>81.504132231405336</v>
      </c>
      <c r="E922" s="8">
        <v>82.8</v>
      </c>
      <c r="F922" s="10">
        <f>AVERAGE($E$733:E922)</f>
        <v>83.41105263157894</v>
      </c>
      <c r="I922" s="11">
        <v>2500</v>
      </c>
      <c r="J922" s="11">
        <v>-1900</v>
      </c>
      <c r="K922" s="11">
        <v>-1282</v>
      </c>
      <c r="L922" s="11">
        <f t="shared" si="16"/>
        <v>-3182</v>
      </c>
      <c r="M922" s="11">
        <f t="shared" si="17"/>
        <v>-682</v>
      </c>
    </row>
    <row r="923" spans="1:13">
      <c r="A923" s="7">
        <v>44752</v>
      </c>
      <c r="B923" s="8">
        <v>81.438016528925999</v>
      </c>
      <c r="E923" s="8">
        <v>84.4</v>
      </c>
      <c r="F923" s="10">
        <f>AVERAGE($E$733:E923)</f>
        <v>83.416230366492144</v>
      </c>
      <c r="I923" s="11">
        <v>3500</v>
      </c>
      <c r="J923" s="11">
        <v>-1900</v>
      </c>
      <c r="K923" s="11">
        <v>-3966</v>
      </c>
      <c r="L923" s="11">
        <f t="shared" si="16"/>
        <v>-5866</v>
      </c>
      <c r="M923" s="11">
        <f t="shared" si="17"/>
        <v>-2366</v>
      </c>
    </row>
    <row r="924" spans="1:13">
      <c r="A924" s="7">
        <v>44753</v>
      </c>
      <c r="B924" s="8">
        <v>81.371900826446662</v>
      </c>
      <c r="E924" s="8">
        <v>83.5</v>
      </c>
      <c r="F924" s="10">
        <f>AVERAGE($E$733:E924)</f>
        <v>83.416666666666657</v>
      </c>
      <c r="I924" s="11">
        <v>2500</v>
      </c>
      <c r="J924" s="11">
        <v>-1900</v>
      </c>
      <c r="K924" s="11">
        <v>-579</v>
      </c>
      <c r="L924" s="11">
        <f t="shared" si="16"/>
        <v>-2479</v>
      </c>
      <c r="M924" s="11">
        <f t="shared" si="17"/>
        <v>21</v>
      </c>
    </row>
    <row r="925" spans="1:13">
      <c r="A925" s="7">
        <v>44754</v>
      </c>
      <c r="B925" s="8">
        <v>81.305785123967325</v>
      </c>
      <c r="E925" s="8">
        <v>84</v>
      </c>
      <c r="F925" s="10">
        <f>AVERAGE($E$733:E925)</f>
        <v>83.419689119170968</v>
      </c>
      <c r="I925" s="11">
        <v>2500</v>
      </c>
      <c r="J925" s="11">
        <v>-1900</v>
      </c>
      <c r="K925" s="11">
        <v>-1092</v>
      </c>
      <c r="L925" s="11">
        <f t="shared" si="16"/>
        <v>-2992</v>
      </c>
      <c r="M925" s="11">
        <f t="shared" si="17"/>
        <v>-492</v>
      </c>
    </row>
    <row r="926" spans="1:13">
      <c r="A926" s="7">
        <v>44755</v>
      </c>
      <c r="B926" s="8">
        <v>81.239669421487989</v>
      </c>
      <c r="E926" s="8">
        <v>83.6</v>
      </c>
      <c r="F926" s="10">
        <f>AVERAGE($E$733:E926)</f>
        <v>83.420618556701029</v>
      </c>
      <c r="I926" s="11">
        <v>3500</v>
      </c>
      <c r="J926" s="11">
        <v>-1900</v>
      </c>
      <c r="K926" s="11">
        <v>-2834</v>
      </c>
      <c r="L926" s="11">
        <f t="shared" ref="L926:L989" si="18">SUM(J926:K926)</f>
        <v>-4734</v>
      </c>
      <c r="M926" s="11">
        <f t="shared" ref="M926:M989" si="19">I926+J926+K926</f>
        <v>-1234</v>
      </c>
    </row>
    <row r="927" spans="1:13">
      <c r="A927" s="7">
        <v>44756</v>
      </c>
      <c r="B927" s="8">
        <v>81.173553719008652</v>
      </c>
      <c r="E927" s="8">
        <v>82.2</v>
      </c>
      <c r="F927" s="10">
        <f>AVERAGE($E$733:E927)</f>
        <v>83.414358974358976</v>
      </c>
      <c r="I927" s="11">
        <v>2500</v>
      </c>
      <c r="J927" s="11">
        <v>-1900</v>
      </c>
      <c r="K927" s="11">
        <v>-651</v>
      </c>
      <c r="L927" s="11">
        <f t="shared" si="18"/>
        <v>-2551</v>
      </c>
      <c r="M927" s="11">
        <f t="shared" si="19"/>
        <v>-51</v>
      </c>
    </row>
    <row r="928" spans="1:13">
      <c r="A928" s="7">
        <v>44757</v>
      </c>
      <c r="B928" s="8">
        <v>81.107438016529315</v>
      </c>
      <c r="E928" s="8">
        <v>82.4</v>
      </c>
      <c r="F928" s="10">
        <f>AVERAGE($E$733:E928)</f>
        <v>83.409183673469386</v>
      </c>
      <c r="I928" s="11">
        <v>2500</v>
      </c>
      <c r="J928" s="11">
        <v>-1900</v>
      </c>
      <c r="K928" s="11">
        <v>-1097</v>
      </c>
      <c r="L928" s="11">
        <f t="shared" si="18"/>
        <v>-2997</v>
      </c>
      <c r="M928" s="11">
        <f t="shared" si="19"/>
        <v>-497</v>
      </c>
    </row>
    <row r="929" spans="1:13">
      <c r="A929" s="7">
        <v>44758</v>
      </c>
      <c r="B929" s="8">
        <v>81.041322314049978</v>
      </c>
      <c r="E929" s="8">
        <v>82.6</v>
      </c>
      <c r="F929" s="10">
        <f>AVERAGE($E$733:E929)</f>
        <v>83.405076142131975</v>
      </c>
      <c r="I929" s="11">
        <v>2500</v>
      </c>
      <c r="J929" s="11">
        <v>-1900</v>
      </c>
      <c r="K929" s="11">
        <v>-1284</v>
      </c>
      <c r="L929" s="11">
        <f t="shared" si="18"/>
        <v>-3184</v>
      </c>
      <c r="M929" s="11">
        <f t="shared" si="19"/>
        <v>-684</v>
      </c>
    </row>
    <row r="930" spans="1:13">
      <c r="A930" s="7">
        <v>44759</v>
      </c>
      <c r="B930" s="8">
        <v>80.975206611570641</v>
      </c>
      <c r="E930" s="8">
        <v>84.5</v>
      </c>
      <c r="F930" s="10">
        <f>AVERAGE($E$733:E930)</f>
        <v>83.410606060606057</v>
      </c>
      <c r="I930" s="11">
        <v>2500</v>
      </c>
      <c r="J930" s="11">
        <v>-1900</v>
      </c>
      <c r="K930" s="11">
        <v>-1244</v>
      </c>
      <c r="L930" s="11">
        <f t="shared" si="18"/>
        <v>-3144</v>
      </c>
      <c r="M930" s="11">
        <f t="shared" si="19"/>
        <v>-644</v>
      </c>
    </row>
    <row r="931" spans="1:13">
      <c r="A931" s="7">
        <v>44760</v>
      </c>
      <c r="B931" s="8">
        <v>80.909090909091304</v>
      </c>
      <c r="E931" s="8">
        <v>84.9</v>
      </c>
      <c r="F931" s="10">
        <f>AVERAGE($E$733:E931)</f>
        <v>83.41809045226131</v>
      </c>
      <c r="I931" s="11">
        <v>2500</v>
      </c>
      <c r="J931" s="11">
        <v>-1900</v>
      </c>
      <c r="K931" s="11">
        <v>-1212</v>
      </c>
      <c r="L931" s="11">
        <f t="shared" si="18"/>
        <v>-3112</v>
      </c>
      <c r="M931" s="11">
        <f t="shared" si="19"/>
        <v>-612</v>
      </c>
    </row>
    <row r="932" spans="1:13">
      <c r="A932" s="7">
        <v>44761</v>
      </c>
      <c r="B932" s="8">
        <v>80.842975206611968</v>
      </c>
      <c r="E932" s="8">
        <v>83.9</v>
      </c>
      <c r="F932" s="10">
        <f>AVERAGE($E$733:E932)</f>
        <v>83.420500000000004</v>
      </c>
      <c r="I932" s="11">
        <v>2500</v>
      </c>
      <c r="J932" s="11">
        <v>-1900</v>
      </c>
      <c r="K932" s="11">
        <v>-988</v>
      </c>
      <c r="L932" s="11">
        <f t="shared" si="18"/>
        <v>-2888</v>
      </c>
      <c r="M932" s="11">
        <f t="shared" si="19"/>
        <v>-388</v>
      </c>
    </row>
    <row r="933" spans="1:13">
      <c r="A933" s="7">
        <v>44762</v>
      </c>
      <c r="B933" s="8">
        <v>80.776859504132631</v>
      </c>
      <c r="E933" s="8">
        <v>83.7</v>
      </c>
      <c r="F933" s="10">
        <f>AVERAGE($E$733:E933)</f>
        <v>83.4218905472637</v>
      </c>
      <c r="I933" s="11">
        <v>3500</v>
      </c>
      <c r="J933" s="11">
        <v>-1900</v>
      </c>
      <c r="K933" s="11">
        <v>-2193</v>
      </c>
      <c r="L933" s="11">
        <f t="shared" si="18"/>
        <v>-4093</v>
      </c>
      <c r="M933" s="11">
        <f t="shared" si="19"/>
        <v>-593</v>
      </c>
    </row>
    <row r="934" spans="1:13">
      <c r="A934" s="7">
        <v>44763</v>
      </c>
      <c r="B934" s="8">
        <v>80.710743801653294</v>
      </c>
      <c r="E934" s="8">
        <v>82.5</v>
      </c>
      <c r="F934" s="10">
        <f>AVERAGE($E$733:E934)</f>
        <v>83.417326732673288</v>
      </c>
      <c r="I934" s="11">
        <v>2500</v>
      </c>
      <c r="J934" s="11">
        <v>-1900</v>
      </c>
      <c r="K934" s="11">
        <v>-678</v>
      </c>
      <c r="L934" s="11">
        <f t="shared" si="18"/>
        <v>-2578</v>
      </c>
      <c r="M934" s="11">
        <f t="shared" si="19"/>
        <v>-78</v>
      </c>
    </row>
    <row r="935" spans="1:13">
      <c r="A935" s="7">
        <v>44764</v>
      </c>
      <c r="B935" s="8">
        <v>80.644628099173957</v>
      </c>
      <c r="E935" s="8">
        <v>83.9</v>
      </c>
      <c r="F935" s="10">
        <f>AVERAGE($E$733:E935)</f>
        <v>83.419704433497557</v>
      </c>
      <c r="I935" s="11">
        <v>2500</v>
      </c>
      <c r="J935" s="11">
        <v>-1900</v>
      </c>
      <c r="K935" s="11">
        <v>-1338</v>
      </c>
      <c r="L935" s="11">
        <f t="shared" si="18"/>
        <v>-3238</v>
      </c>
      <c r="M935" s="11">
        <f t="shared" si="19"/>
        <v>-738</v>
      </c>
    </row>
    <row r="936" spans="1:13">
      <c r="A936" s="7">
        <v>44765</v>
      </c>
      <c r="B936" s="8">
        <v>80.57851239669462</v>
      </c>
      <c r="E936" s="8">
        <v>83.6</v>
      </c>
      <c r="F936" s="10">
        <f>AVERAGE($E$733:E936)</f>
        <v>83.420588235294133</v>
      </c>
      <c r="I936" s="11">
        <v>3000</v>
      </c>
      <c r="J936" s="11">
        <v>-1900</v>
      </c>
      <c r="K936" s="11">
        <v>-1321</v>
      </c>
      <c r="L936" s="11">
        <f t="shared" si="18"/>
        <v>-3221</v>
      </c>
      <c r="M936" s="11">
        <f t="shared" si="19"/>
        <v>-221</v>
      </c>
    </row>
    <row r="937" spans="1:13">
      <c r="A937" s="7">
        <v>44766</v>
      </c>
      <c r="B937" s="8">
        <v>80.512396694215283</v>
      </c>
      <c r="E937" s="8">
        <v>84.2</v>
      </c>
      <c r="F937" s="10">
        <f>AVERAGE($E$733:E937)</f>
        <v>83.424390243902451</v>
      </c>
      <c r="I937" s="11">
        <v>3000</v>
      </c>
      <c r="J937" s="11">
        <v>-1900</v>
      </c>
      <c r="K937" s="11">
        <v>-619</v>
      </c>
      <c r="L937" s="11">
        <f t="shared" si="18"/>
        <v>-2519</v>
      </c>
      <c r="M937" s="11">
        <f t="shared" si="19"/>
        <v>481</v>
      </c>
    </row>
    <row r="938" spans="1:13">
      <c r="A938" s="7">
        <v>44767</v>
      </c>
      <c r="B938" s="8">
        <v>80.446280991735946</v>
      </c>
      <c r="E938" s="8">
        <v>84.4</v>
      </c>
      <c r="F938" s="10">
        <f>AVERAGE($E$733:E938)</f>
        <v>83.429126213592255</v>
      </c>
      <c r="I938" s="11">
        <v>2500</v>
      </c>
      <c r="J938" s="11">
        <v>-1900</v>
      </c>
      <c r="K938" s="11">
        <v>-2100</v>
      </c>
      <c r="L938" s="11">
        <f t="shared" si="18"/>
        <v>-4000</v>
      </c>
      <c r="M938" s="11">
        <f t="shared" si="19"/>
        <v>-1500</v>
      </c>
    </row>
    <row r="939" spans="1:13">
      <c r="A939" s="7">
        <v>44768</v>
      </c>
      <c r="B939" s="8">
        <v>80.38016528925661</v>
      </c>
      <c r="E939" s="8">
        <v>82.8</v>
      </c>
      <c r="F939" s="10">
        <f>AVERAGE($E$733:E939)</f>
        <v>83.426086956521758</v>
      </c>
      <c r="I939" s="11">
        <v>2500</v>
      </c>
      <c r="J939" s="11">
        <v>-1900</v>
      </c>
      <c r="K939" s="11">
        <v>-1036</v>
      </c>
      <c r="L939" s="11">
        <f t="shared" si="18"/>
        <v>-2936</v>
      </c>
      <c r="M939" s="11">
        <f t="shared" si="19"/>
        <v>-436</v>
      </c>
    </row>
    <row r="940" spans="1:13">
      <c r="A940" s="7">
        <v>44769</v>
      </c>
      <c r="B940" s="8">
        <v>80.314049586777273</v>
      </c>
      <c r="E940" s="8">
        <v>83.7</v>
      </c>
      <c r="F940" s="10">
        <f>AVERAGE($E$733:E940)</f>
        <v>83.427403846153865</v>
      </c>
      <c r="I940" s="11">
        <v>2500</v>
      </c>
      <c r="J940" s="11">
        <v>-1900</v>
      </c>
      <c r="K940" s="11">
        <v>-2360</v>
      </c>
      <c r="L940" s="11">
        <f t="shared" si="18"/>
        <v>-4260</v>
      </c>
      <c r="M940" s="11">
        <f t="shared" si="19"/>
        <v>-1760</v>
      </c>
    </row>
    <row r="941" spans="1:13">
      <c r="A941" s="7">
        <v>44770</v>
      </c>
      <c r="B941" s="8">
        <v>80.247933884297936</v>
      </c>
      <c r="E941" s="8">
        <v>83.4</v>
      </c>
      <c r="F941" s="10">
        <f>AVERAGE($E$733:E941)</f>
        <v>83.427272727272765</v>
      </c>
      <c r="I941" s="11">
        <v>2500</v>
      </c>
      <c r="J941" s="11">
        <v>-1900</v>
      </c>
      <c r="K941" s="11">
        <v>-741</v>
      </c>
      <c r="L941" s="11">
        <f t="shared" si="18"/>
        <v>-2641</v>
      </c>
      <c r="M941" s="11">
        <f t="shared" si="19"/>
        <v>-141</v>
      </c>
    </row>
    <row r="942" spans="1:13">
      <c r="A942" s="7">
        <v>44771</v>
      </c>
      <c r="B942" s="8">
        <v>80.181818181818599</v>
      </c>
      <c r="E942" s="8">
        <v>83</v>
      </c>
      <c r="F942" s="10">
        <f>AVERAGE($E$733:E942)</f>
        <v>83.425238095238129</v>
      </c>
      <c r="I942" s="11">
        <v>2500</v>
      </c>
      <c r="J942" s="11">
        <v>-1900</v>
      </c>
      <c r="K942" s="11">
        <v>-1398</v>
      </c>
      <c r="L942" s="11">
        <f t="shared" si="18"/>
        <v>-3298</v>
      </c>
      <c r="M942" s="11">
        <f t="shared" si="19"/>
        <v>-798</v>
      </c>
    </row>
    <row r="943" spans="1:13">
      <c r="A943" s="7">
        <v>44772</v>
      </c>
      <c r="B943" s="8">
        <v>80.115702479339262</v>
      </c>
      <c r="E943" s="8">
        <v>84</v>
      </c>
      <c r="F943" s="10">
        <f>AVERAGE($E$733:E943)</f>
        <v>83.427962085308081</v>
      </c>
      <c r="I943" s="11">
        <v>2194</v>
      </c>
      <c r="J943" s="11">
        <v>-1900</v>
      </c>
      <c r="K943" s="11">
        <v>-1067</v>
      </c>
      <c r="L943" s="11">
        <f t="shared" si="18"/>
        <v>-2967</v>
      </c>
      <c r="M943" s="11">
        <f t="shared" si="19"/>
        <v>-773</v>
      </c>
    </row>
    <row r="944" spans="1:13">
      <c r="A944" s="7">
        <v>44773</v>
      </c>
      <c r="B944" s="8">
        <v>80.049586776859925</v>
      </c>
      <c r="E944" s="8">
        <v>84.9</v>
      </c>
      <c r="F944" s="10">
        <f>AVERAGE($E$733:E944)</f>
        <v>83.434905660377396</v>
      </c>
      <c r="I944" s="11">
        <v>3000</v>
      </c>
      <c r="J944" s="11">
        <v>-1900</v>
      </c>
      <c r="K944" s="11">
        <v>-1207</v>
      </c>
      <c r="L944" s="11">
        <f t="shared" si="18"/>
        <v>-3107</v>
      </c>
      <c r="M944" s="11">
        <f t="shared" si="19"/>
        <v>-107</v>
      </c>
    </row>
    <row r="945" spans="1:13">
      <c r="A945" s="7">
        <v>44774</v>
      </c>
      <c r="B945" s="8">
        <v>81.983471074380589</v>
      </c>
      <c r="E945" s="8">
        <v>84.8</v>
      </c>
      <c r="F945" s="10">
        <f>AVERAGE($E$733:E945)</f>
        <v>83.441314553990651</v>
      </c>
      <c r="I945" s="11">
        <v>2500</v>
      </c>
      <c r="J945" s="11">
        <v>-1900</v>
      </c>
      <c r="K945" s="11">
        <v>-1051</v>
      </c>
      <c r="L945" s="11">
        <f t="shared" si="18"/>
        <v>-2951</v>
      </c>
      <c r="M945" s="11">
        <f t="shared" si="19"/>
        <v>-451</v>
      </c>
    </row>
    <row r="946" spans="1:13">
      <c r="A946" s="7">
        <v>44775</v>
      </c>
      <c r="B946" s="8">
        <v>81.917355371901252</v>
      </c>
      <c r="E946" s="8">
        <v>84.4</v>
      </c>
      <c r="F946" s="10">
        <f>AVERAGE($E$733:E946)</f>
        <v>83.44579439252341</v>
      </c>
      <c r="I946" s="11">
        <v>2500</v>
      </c>
      <c r="J946" s="11">
        <v>-1900</v>
      </c>
      <c r="K946" s="11">
        <v>-1636</v>
      </c>
      <c r="L946" s="11">
        <f t="shared" si="18"/>
        <v>-3536</v>
      </c>
      <c r="M946" s="11">
        <f t="shared" si="19"/>
        <v>-1036</v>
      </c>
    </row>
    <row r="947" spans="1:13">
      <c r="A947" s="7">
        <v>44776</v>
      </c>
      <c r="B947" s="8">
        <v>81.851239669421915</v>
      </c>
      <c r="E947" s="8">
        <v>83.5</v>
      </c>
      <c r="F947" s="10">
        <f>AVERAGE($E$733:E947)</f>
        <v>83.446046511627941</v>
      </c>
      <c r="I947" s="11">
        <v>2500</v>
      </c>
      <c r="J947" s="11">
        <v>-1900</v>
      </c>
      <c r="K947" s="11">
        <v>-604</v>
      </c>
      <c r="L947" s="11">
        <f t="shared" si="18"/>
        <v>-2504</v>
      </c>
      <c r="M947" s="11">
        <f t="shared" si="19"/>
        <v>-4</v>
      </c>
    </row>
    <row r="948" spans="1:13">
      <c r="A948" s="7">
        <v>44777</v>
      </c>
      <c r="B948" s="8">
        <v>81.785123966942578</v>
      </c>
      <c r="E948" s="8">
        <v>83.1</v>
      </c>
      <c r="F948" s="10">
        <f>AVERAGE($E$733:E948)</f>
        <v>83.444444444444471</v>
      </c>
      <c r="I948" s="11">
        <v>2500</v>
      </c>
      <c r="J948" s="11">
        <v>-1900</v>
      </c>
      <c r="K948" s="11">
        <v>-3415</v>
      </c>
      <c r="L948" s="11">
        <f t="shared" si="18"/>
        <v>-5315</v>
      </c>
      <c r="M948" s="11">
        <f t="shared" si="19"/>
        <v>-2815</v>
      </c>
    </row>
    <row r="949" spans="1:13">
      <c r="A949" s="7">
        <v>44778</v>
      </c>
      <c r="B949" s="8">
        <v>81.719008264463241</v>
      </c>
      <c r="E949" s="8">
        <v>81.900000000000006</v>
      </c>
      <c r="F949" s="10">
        <f>AVERAGE($E$733:E949)</f>
        <v>83.437327188940131</v>
      </c>
      <c r="I949" s="11">
        <v>2500</v>
      </c>
      <c r="J949" s="11">
        <v>-1900</v>
      </c>
      <c r="K949" s="11">
        <v>-512</v>
      </c>
      <c r="L949" s="11">
        <f t="shared" si="18"/>
        <v>-2412</v>
      </c>
      <c r="M949" s="11">
        <f t="shared" si="19"/>
        <v>88</v>
      </c>
    </row>
    <row r="950" spans="1:13">
      <c r="A950" s="7">
        <v>44779</v>
      </c>
      <c r="B950" s="8">
        <v>81.652892561983904</v>
      </c>
      <c r="E950" s="8">
        <v>83.1</v>
      </c>
      <c r="F950" s="10">
        <f>AVERAGE($E$733:E950)</f>
        <v>83.435779816513801</v>
      </c>
      <c r="I950" s="11">
        <v>3000</v>
      </c>
      <c r="J950" s="11">
        <v>-1900</v>
      </c>
      <c r="K950" s="11">
        <v>-648</v>
      </c>
      <c r="L950" s="11">
        <f t="shared" si="18"/>
        <v>-2548</v>
      </c>
      <c r="M950" s="11">
        <f t="shared" si="19"/>
        <v>452</v>
      </c>
    </row>
    <row r="951" spans="1:13">
      <c r="A951" s="7">
        <v>44780</v>
      </c>
      <c r="B951" s="8">
        <v>81.586776859504567</v>
      </c>
      <c r="E951" s="8">
        <v>84.4</v>
      </c>
      <c r="F951" s="10">
        <f>AVERAGE($E$733:E951)</f>
        <v>83.440182648401873</v>
      </c>
      <c r="I951" s="11">
        <v>4000</v>
      </c>
      <c r="J951" s="11">
        <v>-1900</v>
      </c>
      <c r="K951" s="11">
        <v>-5865</v>
      </c>
      <c r="L951" s="11">
        <f t="shared" si="18"/>
        <v>-7765</v>
      </c>
      <c r="M951" s="11">
        <f t="shared" si="19"/>
        <v>-3765</v>
      </c>
    </row>
    <row r="952" spans="1:13">
      <c r="A952" s="7">
        <v>44781</v>
      </c>
      <c r="B952" s="8">
        <v>81.520661157025231</v>
      </c>
      <c r="E952" s="8">
        <v>83.1</v>
      </c>
      <c r="F952" s="10">
        <f>AVERAGE($E$733:E952)</f>
        <v>83.438636363636391</v>
      </c>
      <c r="I952" s="11">
        <v>2500</v>
      </c>
      <c r="J952" s="11">
        <v>-1900</v>
      </c>
      <c r="K952" s="11">
        <v>-1938</v>
      </c>
      <c r="L952" s="11">
        <f t="shared" si="18"/>
        <v>-3838</v>
      </c>
      <c r="M952" s="11">
        <f t="shared" si="19"/>
        <v>-1338</v>
      </c>
    </row>
    <row r="953" spans="1:13">
      <c r="A953" s="7">
        <v>44782</v>
      </c>
      <c r="B953" s="8">
        <v>81.454545454545894</v>
      </c>
      <c r="E953" s="8">
        <v>82.9</v>
      </c>
      <c r="F953" s="10">
        <f>AVERAGE($E$733:E953)</f>
        <v>83.436199095022658</v>
      </c>
      <c r="I953" s="11">
        <v>2500</v>
      </c>
      <c r="J953" s="11">
        <v>-1900</v>
      </c>
      <c r="K953" s="11">
        <v>-793</v>
      </c>
      <c r="L953" s="11">
        <f t="shared" si="18"/>
        <v>-2693</v>
      </c>
      <c r="M953" s="11">
        <f t="shared" si="19"/>
        <v>-193</v>
      </c>
    </row>
    <row r="954" spans="1:13">
      <c r="A954" s="7">
        <v>44783</v>
      </c>
      <c r="B954" s="8">
        <v>81.388429752066557</v>
      </c>
      <c r="E954" s="8">
        <v>83.3</v>
      </c>
      <c r="F954" s="10">
        <f>AVERAGE($E$733:E954)</f>
        <v>83.435585585585628</v>
      </c>
      <c r="I954" s="11">
        <v>2500</v>
      </c>
      <c r="J954" s="11">
        <v>-1900</v>
      </c>
      <c r="K954" s="11">
        <v>-734</v>
      </c>
      <c r="L954" s="11">
        <f t="shared" si="18"/>
        <v>-2634</v>
      </c>
      <c r="M954" s="11">
        <f t="shared" si="19"/>
        <v>-134</v>
      </c>
    </row>
    <row r="955" spans="1:13">
      <c r="A955" s="7">
        <v>44784</v>
      </c>
      <c r="B955" s="8">
        <v>81.32231404958722</v>
      </c>
      <c r="E955" s="8">
        <v>84</v>
      </c>
      <c r="F955" s="10">
        <f>AVERAGE($E$733:E955)</f>
        <v>83.438116591928292</v>
      </c>
      <c r="I955" s="11">
        <v>3500</v>
      </c>
      <c r="J955" s="11">
        <v>-1900</v>
      </c>
      <c r="K955" s="11">
        <v>-1395</v>
      </c>
      <c r="L955" s="11">
        <f t="shared" si="18"/>
        <v>-3295</v>
      </c>
      <c r="M955" s="11">
        <f t="shared" si="19"/>
        <v>205</v>
      </c>
    </row>
    <row r="956" spans="1:13">
      <c r="A956" s="7">
        <v>44785</v>
      </c>
      <c r="B956" s="8">
        <v>81.256198347107883</v>
      </c>
      <c r="E956" s="8">
        <v>84.2</v>
      </c>
      <c r="F956" s="10">
        <f>AVERAGE($E$733:E956)</f>
        <v>83.441517857142898</v>
      </c>
      <c r="I956" s="11">
        <v>3500</v>
      </c>
      <c r="J956" s="11">
        <v>-1900</v>
      </c>
      <c r="K956" s="11">
        <v>-745</v>
      </c>
      <c r="L956" s="11">
        <f t="shared" si="18"/>
        <v>-2645</v>
      </c>
      <c r="M956" s="11">
        <f t="shared" si="19"/>
        <v>855</v>
      </c>
    </row>
    <row r="957" spans="1:13">
      <c r="A957" s="7">
        <v>44786</v>
      </c>
      <c r="B957" s="8">
        <v>81.190082644628546</v>
      </c>
      <c r="E957" s="8">
        <v>83.4</v>
      </c>
      <c r="F957" s="10">
        <f>AVERAGE($E$733:E957)</f>
        <v>83.441333333333375</v>
      </c>
      <c r="I957" s="11">
        <v>3500</v>
      </c>
      <c r="J957" s="11">
        <v>-1900</v>
      </c>
      <c r="K957" s="11">
        <v>-1727</v>
      </c>
      <c r="L957" s="11">
        <f t="shared" si="18"/>
        <v>-3627</v>
      </c>
      <c r="M957" s="11">
        <f t="shared" si="19"/>
        <v>-127</v>
      </c>
    </row>
    <row r="958" spans="1:13">
      <c r="A958" s="7">
        <v>44787</v>
      </c>
      <c r="B958" s="8">
        <v>81.12396694214921</v>
      </c>
      <c r="E958" s="8">
        <f>E957+1</f>
        <v>84.4</v>
      </c>
      <c r="F958" s="10">
        <f>AVERAGE($E$733:E958)</f>
        <v>83.445575221238983</v>
      </c>
      <c r="I958" s="11">
        <v>3500</v>
      </c>
      <c r="J958" s="11">
        <v>-1900</v>
      </c>
      <c r="K958" s="11">
        <v>-729</v>
      </c>
      <c r="L958" s="11">
        <f t="shared" si="18"/>
        <v>-2629</v>
      </c>
      <c r="M958" s="11">
        <f t="shared" si="19"/>
        <v>871</v>
      </c>
    </row>
    <row r="959" spans="1:13">
      <c r="A959" s="7">
        <v>44788</v>
      </c>
      <c r="B959" s="8">
        <v>81.057851239669873</v>
      </c>
      <c r="E959" s="8">
        <f>E958+1</f>
        <v>85.4</v>
      </c>
      <c r="F959" s="10">
        <f>AVERAGE($E$733:E959)</f>
        <v>83.454185022026493</v>
      </c>
      <c r="I959" s="11">
        <v>3500</v>
      </c>
      <c r="J959" s="11">
        <v>-1900</v>
      </c>
      <c r="K959" s="11">
        <v>-882</v>
      </c>
      <c r="L959" s="11">
        <f t="shared" si="18"/>
        <v>-2782</v>
      </c>
      <c r="M959" s="11">
        <f t="shared" si="19"/>
        <v>718</v>
      </c>
    </row>
    <row r="960" spans="1:13">
      <c r="A960" s="7">
        <v>44789</v>
      </c>
      <c r="B960" s="8">
        <v>80.991735537190536</v>
      </c>
      <c r="E960" s="8">
        <v>86</v>
      </c>
      <c r="F960" s="10">
        <f>AVERAGE($E$733:E960)</f>
        <v>83.465350877193046</v>
      </c>
      <c r="I960" s="11">
        <v>3500</v>
      </c>
      <c r="J960" s="11">
        <v>-1900</v>
      </c>
      <c r="K960" s="11">
        <v>-1368</v>
      </c>
      <c r="L960" s="11">
        <f t="shared" si="18"/>
        <v>-3268</v>
      </c>
      <c r="M960" s="11">
        <f t="shared" si="19"/>
        <v>232</v>
      </c>
    </row>
    <row r="961" spans="1:13">
      <c r="A961" s="7">
        <v>44790</v>
      </c>
      <c r="B961" s="8">
        <v>80.925619834711199</v>
      </c>
      <c r="E961" s="8">
        <v>86.4</v>
      </c>
      <c r="F961" s="10">
        <f>AVERAGE($E$733:E961)</f>
        <v>83.478165938864691</v>
      </c>
      <c r="I961" s="11">
        <v>3500</v>
      </c>
      <c r="J961" s="11">
        <v>-1900</v>
      </c>
      <c r="K961" s="11">
        <v>-1091</v>
      </c>
      <c r="L961" s="11">
        <f t="shared" si="18"/>
        <v>-2991</v>
      </c>
      <c r="M961" s="11">
        <f t="shared" si="19"/>
        <v>509</v>
      </c>
    </row>
    <row r="962" spans="1:13">
      <c r="A962" s="7">
        <v>44791</v>
      </c>
      <c r="B962" s="8">
        <v>80.859504132231862</v>
      </c>
      <c r="E962" s="8">
        <v>86.6</v>
      </c>
      <c r="F962" s="10">
        <f>AVERAGE($E$733:E962)</f>
        <v>83.491739130434837</v>
      </c>
      <c r="I962" s="11">
        <v>3500</v>
      </c>
      <c r="J962" s="11">
        <v>-1900</v>
      </c>
      <c r="K962" s="11">
        <v>-1501</v>
      </c>
      <c r="L962" s="11">
        <f t="shared" si="18"/>
        <v>-3401</v>
      </c>
      <c r="M962" s="11">
        <f t="shared" si="19"/>
        <v>99</v>
      </c>
    </row>
    <row r="963" spans="1:13">
      <c r="A963" s="7">
        <v>44792</v>
      </c>
      <c r="B963" s="8">
        <v>80.793388429752525</v>
      </c>
      <c r="E963" s="8">
        <v>85.9</v>
      </c>
      <c r="F963" s="10">
        <f>AVERAGE($E$733:E963)</f>
        <v>83.502164502164561</v>
      </c>
      <c r="I963" s="11">
        <v>3500</v>
      </c>
      <c r="J963" s="11">
        <v>-1900</v>
      </c>
      <c r="K963" s="11">
        <v>-2350</v>
      </c>
      <c r="L963" s="11">
        <f t="shared" si="18"/>
        <v>-4250</v>
      </c>
      <c r="M963" s="11">
        <f t="shared" si="19"/>
        <v>-750</v>
      </c>
    </row>
    <row r="964" spans="1:13">
      <c r="A964" s="7">
        <v>44793</v>
      </c>
      <c r="B964" s="8">
        <v>80.727272727273188</v>
      </c>
      <c r="E964" s="8">
        <v>85.4</v>
      </c>
      <c r="F964" s="10">
        <f>AVERAGE($E$733:E964)</f>
        <v>83.51034482758628</v>
      </c>
      <c r="I964" s="11">
        <v>3500</v>
      </c>
      <c r="J964" s="11">
        <v>-1900</v>
      </c>
      <c r="K964" s="11">
        <v>-903</v>
      </c>
      <c r="L964" s="11">
        <f t="shared" si="18"/>
        <v>-2803</v>
      </c>
      <c r="M964" s="11">
        <f t="shared" si="19"/>
        <v>697</v>
      </c>
    </row>
    <row r="965" spans="1:13">
      <c r="A965" s="7">
        <v>44794</v>
      </c>
      <c r="B965" s="8">
        <v>80.661157024793852</v>
      </c>
      <c r="E965" s="8">
        <v>86.8</v>
      </c>
      <c r="F965" s="10">
        <f>AVERAGE($E$733:E965)</f>
        <v>83.524463519313372</v>
      </c>
      <c r="I965" s="11">
        <v>3500</v>
      </c>
      <c r="J965" s="11">
        <v>-1900</v>
      </c>
      <c r="K965" s="11">
        <v>-743</v>
      </c>
      <c r="L965" s="11">
        <f t="shared" si="18"/>
        <v>-2643</v>
      </c>
      <c r="M965" s="11">
        <f t="shared" si="19"/>
        <v>857</v>
      </c>
    </row>
    <row r="966" spans="1:13">
      <c r="A966" s="7">
        <v>44795</v>
      </c>
      <c r="B966" s="8">
        <v>80.595041322314515</v>
      </c>
      <c r="E966" s="8">
        <v>86</v>
      </c>
      <c r="F966" s="10">
        <f>AVERAGE($E$733:E966)</f>
        <v>83.535042735042794</v>
      </c>
      <c r="I966" s="11">
        <v>3500</v>
      </c>
      <c r="J966" s="11">
        <v>-1900</v>
      </c>
      <c r="K966" s="11">
        <v>-720</v>
      </c>
      <c r="L966" s="11">
        <f t="shared" si="18"/>
        <v>-2620</v>
      </c>
      <c r="M966" s="11">
        <f t="shared" si="19"/>
        <v>880</v>
      </c>
    </row>
    <row r="967" spans="1:13">
      <c r="A967" s="7">
        <v>44796</v>
      </c>
      <c r="B967" s="8">
        <v>80.528925619835178</v>
      </c>
      <c r="E967" s="8">
        <f>E966+0.1</f>
        <v>86.1</v>
      </c>
      <c r="F967" s="10">
        <f>AVERAGE($E$733:E967)</f>
        <v>83.545957446808572</v>
      </c>
      <c r="I967" s="11">
        <v>3500</v>
      </c>
      <c r="J967" s="11">
        <v>-1900</v>
      </c>
      <c r="K967" s="11">
        <v>-789</v>
      </c>
      <c r="L967" s="11">
        <f t="shared" si="18"/>
        <v>-2689</v>
      </c>
      <c r="M967" s="11">
        <f t="shared" si="19"/>
        <v>811</v>
      </c>
    </row>
    <row r="968" spans="1:13">
      <c r="A968" s="7">
        <v>44797</v>
      </c>
      <c r="B968" s="8">
        <v>80.462809917355841</v>
      </c>
      <c r="E968" s="8">
        <f>E967+0.1</f>
        <v>86.199999999999989</v>
      </c>
      <c r="F968" s="10">
        <f>AVERAGE($E$733:E968)</f>
        <v>83.557203389830576</v>
      </c>
      <c r="I968" s="11">
        <v>3500</v>
      </c>
      <c r="J968" s="11">
        <v>-1900</v>
      </c>
      <c r="K968" s="11">
        <v>-4189</v>
      </c>
      <c r="L968" s="11">
        <f t="shared" si="18"/>
        <v>-6089</v>
      </c>
      <c r="M968" s="11">
        <f t="shared" si="19"/>
        <v>-2589</v>
      </c>
    </row>
    <row r="969" spans="1:13">
      <c r="A969" s="7">
        <v>44798</v>
      </c>
      <c r="B969" s="8">
        <v>80.396694214876504</v>
      </c>
      <c r="E969" s="8">
        <f>E968+0.1</f>
        <v>86.299999999999983</v>
      </c>
      <c r="F969" s="10">
        <f>AVERAGE($E$733:E969)</f>
        <v>83.568776371308076</v>
      </c>
      <c r="I969" s="11">
        <v>3500</v>
      </c>
      <c r="J969" s="11">
        <v>-1900</v>
      </c>
      <c r="K969" s="11">
        <v>-1135</v>
      </c>
      <c r="L969" s="11">
        <f t="shared" si="18"/>
        <v>-3035</v>
      </c>
      <c r="M969" s="11">
        <f t="shared" si="19"/>
        <v>465</v>
      </c>
    </row>
    <row r="970" spans="1:13">
      <c r="A970" s="7">
        <v>44799</v>
      </c>
      <c r="B970" s="8">
        <v>80.330578512397167</v>
      </c>
      <c r="E970" s="8">
        <f>E969+0.1</f>
        <v>86.399999999999977</v>
      </c>
      <c r="F970" s="10">
        <f>AVERAGE($E$733:E970)</f>
        <v>83.580672268907634</v>
      </c>
      <c r="I970" s="11">
        <v>3500</v>
      </c>
      <c r="J970" s="11">
        <v>-1900</v>
      </c>
      <c r="K970" s="11">
        <v>-498</v>
      </c>
      <c r="L970" s="11">
        <f t="shared" si="18"/>
        <v>-2398</v>
      </c>
      <c r="M970" s="11">
        <f t="shared" si="19"/>
        <v>1102</v>
      </c>
    </row>
    <row r="971" spans="1:13">
      <c r="A971" s="7">
        <v>44800</v>
      </c>
      <c r="B971" s="8">
        <v>80.264462809917831</v>
      </c>
      <c r="E971" s="8">
        <f>E970+0.1</f>
        <v>86.499999999999972</v>
      </c>
      <c r="F971" s="10">
        <f>AVERAGE($E$733:E971)</f>
        <v>83.592887029288761</v>
      </c>
      <c r="I971" s="11">
        <v>3500</v>
      </c>
      <c r="J971" s="11">
        <v>-1900</v>
      </c>
      <c r="K971" s="11">
        <v>-3164</v>
      </c>
      <c r="L971" s="11">
        <f t="shared" si="18"/>
        <v>-5064</v>
      </c>
      <c r="M971" s="11">
        <f t="shared" si="19"/>
        <v>-1564</v>
      </c>
    </row>
    <row r="972" spans="1:13">
      <c r="A972" s="7">
        <v>44801</v>
      </c>
      <c r="B972" s="8">
        <v>80.198347107438494</v>
      </c>
      <c r="E972" s="8">
        <f>E971</f>
        <v>86.499999999999972</v>
      </c>
      <c r="F972" s="10">
        <f>AVERAGE($E$733:E972)</f>
        <v>83.605000000000061</v>
      </c>
      <c r="I972" s="11">
        <v>3500</v>
      </c>
      <c r="J972" s="11">
        <v>-1900</v>
      </c>
      <c r="K972" s="11">
        <v>-826</v>
      </c>
      <c r="L972" s="11">
        <f t="shared" si="18"/>
        <v>-2726</v>
      </c>
      <c r="M972" s="11">
        <f t="shared" si="19"/>
        <v>774</v>
      </c>
    </row>
    <row r="973" spans="1:13">
      <c r="A973" s="7">
        <v>44802</v>
      </c>
      <c r="B973" s="8">
        <v>80.132231404959157</v>
      </c>
      <c r="E973" s="8">
        <v>86.5</v>
      </c>
      <c r="F973" s="10">
        <f>AVERAGE($E$733:E973)</f>
        <v>83.61701244813284</v>
      </c>
      <c r="I973" s="11">
        <v>2519</v>
      </c>
      <c r="J973" s="11">
        <v>-1900</v>
      </c>
      <c r="K973" s="11">
        <v>-935</v>
      </c>
      <c r="L973" s="11">
        <f t="shared" si="18"/>
        <v>-2835</v>
      </c>
      <c r="M973" s="11">
        <f t="shared" si="19"/>
        <v>-316</v>
      </c>
    </row>
    <row r="974" spans="1:13">
      <c r="A974" s="7">
        <v>44803</v>
      </c>
      <c r="B974" s="8">
        <v>80.06611570247982</v>
      </c>
      <c r="E974" s="8">
        <v>85.6</v>
      </c>
      <c r="F974" s="10">
        <f>AVERAGE($E$733:E974)</f>
        <v>83.625206611570306</v>
      </c>
      <c r="I974" s="11">
        <v>3041</v>
      </c>
      <c r="J974" s="11">
        <v>-1900</v>
      </c>
      <c r="K974" s="11">
        <v>-968</v>
      </c>
      <c r="L974" s="11">
        <f t="shared" si="18"/>
        <v>-2868</v>
      </c>
      <c r="M974" s="11">
        <f t="shared" si="19"/>
        <v>173</v>
      </c>
    </row>
    <row r="975" spans="1:13">
      <c r="A975" s="7">
        <v>44804</v>
      </c>
      <c r="B975" s="8">
        <v>80.000000000000483</v>
      </c>
      <c r="E975" s="8">
        <v>86.2</v>
      </c>
      <c r="F975" s="10">
        <f>AVERAGE($E$733:E975)</f>
        <v>83.635802469135868</v>
      </c>
      <c r="I975" s="11">
        <v>3000</v>
      </c>
      <c r="J975" s="11">
        <v>-1900</v>
      </c>
      <c r="K975" s="11">
        <v>-1405</v>
      </c>
      <c r="L975" s="11">
        <f t="shared" si="18"/>
        <v>-3305</v>
      </c>
      <c r="M975" s="11">
        <f t="shared" si="19"/>
        <v>-305</v>
      </c>
    </row>
    <row r="976" spans="1:13">
      <c r="A976" s="7">
        <v>44805</v>
      </c>
      <c r="B976" s="8">
        <v>84.000000000000483</v>
      </c>
      <c r="E976" s="8">
        <v>85.5</v>
      </c>
      <c r="F976" s="10">
        <f>AVERAGE($E$733:E976)</f>
        <v>83.643442622950886</v>
      </c>
      <c r="I976" s="11">
        <v>3000</v>
      </c>
      <c r="J976" s="11">
        <v>-1900</v>
      </c>
      <c r="K976" s="11">
        <v>-846</v>
      </c>
      <c r="L976" s="11">
        <f t="shared" si="18"/>
        <v>-2746</v>
      </c>
      <c r="M976" s="11">
        <f t="shared" si="19"/>
        <v>254</v>
      </c>
    </row>
    <row r="977" spans="1:13">
      <c r="A977" s="7">
        <v>44806</v>
      </c>
      <c r="B977" s="8">
        <v>83.933884297521146</v>
      </c>
      <c r="E977" s="8">
        <v>84.4</v>
      </c>
      <c r="F977" s="10">
        <f>AVERAGE($E$733:E977)</f>
        <v>83.646530612244959</v>
      </c>
      <c r="I977" s="11">
        <v>3000</v>
      </c>
      <c r="J977" s="11">
        <v>-1900</v>
      </c>
      <c r="K977" s="11">
        <v>-644</v>
      </c>
      <c r="L977" s="11">
        <f t="shared" si="18"/>
        <v>-2544</v>
      </c>
      <c r="M977" s="11">
        <f t="shared" si="19"/>
        <v>456</v>
      </c>
    </row>
    <row r="978" spans="1:13">
      <c r="A978" s="7">
        <v>44807</v>
      </c>
      <c r="B978" s="8">
        <v>83.867768595041809</v>
      </c>
      <c r="E978" s="8">
        <v>84.8</v>
      </c>
      <c r="F978" s="10">
        <f>AVERAGE($E$733:E978)</f>
        <v>83.651219512195183</v>
      </c>
      <c r="I978" s="11">
        <v>6000</v>
      </c>
      <c r="J978" s="11">
        <v>-1900</v>
      </c>
      <c r="K978" s="11">
        <v>-9131</v>
      </c>
      <c r="L978" s="11">
        <f t="shared" si="18"/>
        <v>-11031</v>
      </c>
      <c r="M978" s="11">
        <f t="shared" si="19"/>
        <v>-5031</v>
      </c>
    </row>
    <row r="979" spans="1:13">
      <c r="A979" s="7">
        <v>44808</v>
      </c>
      <c r="B979" s="8">
        <v>83.801652892562473</v>
      </c>
      <c r="E979" s="8">
        <v>83.2</v>
      </c>
      <c r="F979" s="10">
        <f>AVERAGE($E$733:E979)</f>
        <v>83.649392712550679</v>
      </c>
      <c r="I979" s="11">
        <v>4000</v>
      </c>
      <c r="J979" s="11">
        <v>-1900</v>
      </c>
      <c r="K979" s="11">
        <v>-659</v>
      </c>
      <c r="L979" s="11">
        <f t="shared" si="18"/>
        <v>-2559</v>
      </c>
      <c r="M979" s="11">
        <f t="shared" si="19"/>
        <v>1441</v>
      </c>
    </row>
    <row r="980" spans="1:13">
      <c r="A980" s="7">
        <v>44809</v>
      </c>
      <c r="B980" s="8">
        <v>83.735537190083136</v>
      </c>
      <c r="E980" s="8">
        <v>86.1</v>
      </c>
      <c r="F980" s="10">
        <f>AVERAGE($E$733:E980)</f>
        <v>83.659274193548441</v>
      </c>
      <c r="I980" s="11">
        <v>3000</v>
      </c>
      <c r="J980" s="11">
        <v>-1900</v>
      </c>
      <c r="K980" s="11">
        <v>-885</v>
      </c>
      <c r="L980" s="11">
        <f t="shared" si="18"/>
        <v>-2785</v>
      </c>
      <c r="M980" s="11">
        <f t="shared" si="19"/>
        <v>215</v>
      </c>
    </row>
    <row r="981" spans="1:13">
      <c r="A981" s="7">
        <v>44810</v>
      </c>
      <c r="B981" s="8">
        <v>83.669421487603799</v>
      </c>
      <c r="E981" s="8">
        <v>85.5</v>
      </c>
      <c r="F981" s="10">
        <f>AVERAGE($E$733:E981)</f>
        <v>83.666666666666728</v>
      </c>
      <c r="I981" s="11">
        <v>3000</v>
      </c>
      <c r="J981" s="11">
        <v>-1900</v>
      </c>
      <c r="K981" s="11">
        <v>-705</v>
      </c>
      <c r="L981" s="11">
        <f t="shared" si="18"/>
        <v>-2605</v>
      </c>
      <c r="M981" s="11">
        <f t="shared" si="19"/>
        <v>395</v>
      </c>
    </row>
    <row r="982" spans="1:13">
      <c r="A982" s="7">
        <v>44811</v>
      </c>
      <c r="B982" s="8">
        <v>83.603305785124462</v>
      </c>
      <c r="E982" s="8">
        <v>85.5</v>
      </c>
      <c r="F982" s="10">
        <f>AVERAGE($E$733:E982)</f>
        <v>83.674000000000063</v>
      </c>
      <c r="I982" s="11">
        <v>3000</v>
      </c>
      <c r="J982" s="11">
        <v>-1900</v>
      </c>
      <c r="K982" s="11">
        <v>-1467</v>
      </c>
      <c r="L982" s="11">
        <f t="shared" si="18"/>
        <v>-3367</v>
      </c>
      <c r="M982" s="11">
        <f t="shared" si="19"/>
        <v>-367</v>
      </c>
    </row>
    <row r="983" spans="1:13">
      <c r="A983" s="7">
        <v>44812</v>
      </c>
      <c r="B983" s="8">
        <v>83.537190082645125</v>
      </c>
      <c r="E983" s="8">
        <v>85</v>
      </c>
      <c r="F983" s="10">
        <f>AVERAGE($E$733:E983)</f>
        <v>83.679282868525959</v>
      </c>
      <c r="I983" s="11">
        <v>3000</v>
      </c>
      <c r="J983" s="11">
        <v>-1900</v>
      </c>
      <c r="K983" s="11">
        <v>-513</v>
      </c>
      <c r="L983" s="11">
        <f t="shared" si="18"/>
        <v>-2413</v>
      </c>
      <c r="M983" s="11">
        <f t="shared" si="19"/>
        <v>587</v>
      </c>
    </row>
    <row r="984" spans="1:13">
      <c r="A984" s="7">
        <v>44813</v>
      </c>
      <c r="B984" s="8">
        <v>83.471074380165788</v>
      </c>
      <c r="E984" s="8">
        <v>84.2</v>
      </c>
      <c r="F984" s="10">
        <f>AVERAGE($E$733:E984)</f>
        <v>83.681349206349267</v>
      </c>
      <c r="I984" s="11">
        <v>3000</v>
      </c>
      <c r="J984" s="11">
        <v>-1900</v>
      </c>
      <c r="K984" s="11">
        <v>-772</v>
      </c>
      <c r="L984" s="11">
        <f t="shared" si="18"/>
        <v>-2672</v>
      </c>
      <c r="M984" s="11">
        <f t="shared" si="19"/>
        <v>328</v>
      </c>
    </row>
    <row r="985" spans="1:13">
      <c r="A985" s="7">
        <v>44814</v>
      </c>
      <c r="B985" s="8">
        <v>83.404958677686452</v>
      </c>
      <c r="E985" s="8">
        <v>83.4</v>
      </c>
      <c r="F985" s="10">
        <f>AVERAGE($E$733:E985)</f>
        <v>83.680237154150262</v>
      </c>
      <c r="I985" s="11">
        <v>3000</v>
      </c>
      <c r="J985" s="11">
        <v>-1900</v>
      </c>
      <c r="K985" s="11">
        <v>-665</v>
      </c>
      <c r="L985" s="11">
        <f t="shared" si="18"/>
        <v>-2565</v>
      </c>
      <c r="M985" s="11">
        <f t="shared" si="19"/>
        <v>435</v>
      </c>
    </row>
    <row r="986" spans="1:13">
      <c r="A986" s="7">
        <v>44815</v>
      </c>
      <c r="B986" s="8">
        <v>83.338842975207115</v>
      </c>
      <c r="E986" s="8">
        <v>85.2</v>
      </c>
      <c r="F986" s="10">
        <f>AVERAGE($E$733:E986)</f>
        <v>83.686220472441008</v>
      </c>
      <c r="I986" s="11">
        <v>3000</v>
      </c>
      <c r="J986" s="11">
        <v>-1900</v>
      </c>
      <c r="K986" s="11">
        <v>-940</v>
      </c>
      <c r="L986" s="11">
        <f t="shared" si="18"/>
        <v>-2840</v>
      </c>
      <c r="M986" s="11">
        <f t="shared" si="19"/>
        <v>160</v>
      </c>
    </row>
    <row r="987" spans="1:13">
      <c r="A987" s="7">
        <v>44816</v>
      </c>
      <c r="B987" s="8">
        <v>83.272727272727778</v>
      </c>
      <c r="E987" s="8">
        <v>86.7</v>
      </c>
      <c r="F987" s="10">
        <f>AVERAGE($E$733:E987)</f>
        <v>83.69803921568635</v>
      </c>
      <c r="I987" s="11">
        <v>3000</v>
      </c>
      <c r="J987" s="11">
        <v>-1900</v>
      </c>
      <c r="K987" s="11">
        <v>-795</v>
      </c>
      <c r="L987" s="11">
        <f t="shared" si="18"/>
        <v>-2695</v>
      </c>
      <c r="M987" s="11">
        <f t="shared" si="19"/>
        <v>305</v>
      </c>
    </row>
    <row r="988" spans="1:13">
      <c r="A988" s="7">
        <v>44817</v>
      </c>
      <c r="B988" s="8">
        <v>83.206611570248441</v>
      </c>
      <c r="E988" s="8">
        <v>85.6</v>
      </c>
      <c r="F988" s="10">
        <f>AVERAGE($E$733:E988)</f>
        <v>83.705468750000065</v>
      </c>
      <c r="I988" s="11">
        <v>3000</v>
      </c>
      <c r="J988" s="11">
        <v>-1900</v>
      </c>
      <c r="K988" s="11">
        <v>-3038</v>
      </c>
      <c r="L988" s="11">
        <f t="shared" si="18"/>
        <v>-4938</v>
      </c>
      <c r="M988" s="11">
        <f t="shared" si="19"/>
        <v>-1938</v>
      </c>
    </row>
    <row r="989" spans="1:13">
      <c r="A989" s="7">
        <v>44818</v>
      </c>
      <c r="B989" s="8">
        <v>83.140495867769104</v>
      </c>
      <c r="E989" s="8">
        <v>84.9</v>
      </c>
      <c r="F989" s="10">
        <f>AVERAGE($E$733:E989)</f>
        <v>83.710116731517587</v>
      </c>
      <c r="I989" s="11">
        <v>3000</v>
      </c>
      <c r="J989" s="11">
        <v>-1900</v>
      </c>
      <c r="K989" s="11">
        <v>-863</v>
      </c>
      <c r="L989" s="11">
        <f t="shared" si="18"/>
        <v>-2763</v>
      </c>
      <c r="M989" s="11">
        <f t="shared" si="19"/>
        <v>237</v>
      </c>
    </row>
    <row r="990" spans="1:13">
      <c r="A990" s="7">
        <v>44819</v>
      </c>
      <c r="B990" s="8">
        <v>83.074380165289767</v>
      </c>
      <c r="E990" s="8">
        <v>85.2</v>
      </c>
      <c r="F990" s="10">
        <f>AVERAGE($E$733:E990)</f>
        <v>83.715891472868293</v>
      </c>
      <c r="I990" s="11">
        <v>3000</v>
      </c>
      <c r="J990" s="11">
        <v>-1900</v>
      </c>
      <c r="K990" s="11">
        <v>-929</v>
      </c>
      <c r="L990" s="11">
        <f t="shared" ref="L990:L1053" si="20">SUM(J990:K990)</f>
        <v>-2829</v>
      </c>
      <c r="M990" s="11">
        <f t="shared" ref="M990:M1053" si="21">I990+J990+K990</f>
        <v>171</v>
      </c>
    </row>
    <row r="991" spans="1:13">
      <c r="A991" s="7">
        <v>44820</v>
      </c>
      <c r="B991" s="8">
        <v>83.00826446281043</v>
      </c>
      <c r="E991" s="8">
        <v>85</v>
      </c>
      <c r="F991" s="10">
        <f>AVERAGE($E$733:E991)</f>
        <v>83.72084942084949</v>
      </c>
      <c r="I991" s="11">
        <v>3000</v>
      </c>
      <c r="J991" s="11">
        <v>-1900</v>
      </c>
      <c r="K991" s="11">
        <v>-2109</v>
      </c>
      <c r="L991" s="11">
        <f t="shared" si="20"/>
        <v>-4009</v>
      </c>
      <c r="M991" s="11">
        <f t="shared" si="21"/>
        <v>-1009</v>
      </c>
    </row>
    <row r="992" spans="1:13">
      <c r="A992" s="7">
        <v>44821</v>
      </c>
      <c r="B992" s="8">
        <v>82.942148760331094</v>
      </c>
      <c r="E992" s="8">
        <v>85.2</v>
      </c>
      <c r="F992" s="10">
        <f>AVERAGE($E$733:E992)</f>
        <v>83.726538461538539</v>
      </c>
      <c r="I992" s="11">
        <v>3000</v>
      </c>
      <c r="J992" s="11">
        <v>-1900</v>
      </c>
      <c r="K992" s="11">
        <v>-591</v>
      </c>
      <c r="L992" s="11">
        <f t="shared" si="20"/>
        <v>-2491</v>
      </c>
      <c r="M992" s="11">
        <f t="shared" si="21"/>
        <v>509</v>
      </c>
    </row>
    <row r="993" spans="1:13">
      <c r="A993" s="7">
        <v>44822</v>
      </c>
      <c r="B993" s="8">
        <v>82.876033057851757</v>
      </c>
      <c r="E993" s="8">
        <v>87.1</v>
      </c>
      <c r="F993" s="10">
        <f>AVERAGE($E$733:E993)</f>
        <v>83.739463601532634</v>
      </c>
      <c r="I993" s="11">
        <v>3000</v>
      </c>
      <c r="J993" s="11">
        <v>-1900</v>
      </c>
      <c r="K993" s="11">
        <v>-3427</v>
      </c>
      <c r="L993" s="11">
        <f t="shared" si="20"/>
        <v>-5327</v>
      </c>
      <c r="M993" s="11">
        <f t="shared" si="21"/>
        <v>-2327</v>
      </c>
    </row>
    <row r="994" spans="1:13">
      <c r="A994" s="7">
        <v>44823</v>
      </c>
      <c r="B994" s="8">
        <v>82.80991735537242</v>
      </c>
      <c r="E994" s="8">
        <v>86</v>
      </c>
      <c r="F994" s="10">
        <f>AVERAGE($E$733:E994)</f>
        <v>83.74809160305351</v>
      </c>
      <c r="I994" s="11">
        <v>1930</v>
      </c>
      <c r="J994" s="11">
        <v>-1900</v>
      </c>
      <c r="K994" s="11">
        <v>-164</v>
      </c>
      <c r="L994" s="11">
        <f t="shared" si="20"/>
        <v>-2064</v>
      </c>
      <c r="M994" s="11">
        <f t="shared" si="21"/>
        <v>-134</v>
      </c>
    </row>
    <row r="995" spans="1:13">
      <c r="A995" s="7">
        <v>44824</v>
      </c>
      <c r="B995" s="8">
        <v>82.743801652893083</v>
      </c>
      <c r="E995" s="8">
        <v>86</v>
      </c>
      <c r="F995" s="10">
        <f>AVERAGE($E$733:E995)</f>
        <v>83.756653992395513</v>
      </c>
      <c r="I995" s="11">
        <v>3000</v>
      </c>
      <c r="J995" s="11">
        <v>-1900</v>
      </c>
      <c r="K995" s="11">
        <v>-390</v>
      </c>
      <c r="L995" s="11">
        <f t="shared" si="20"/>
        <v>-2290</v>
      </c>
      <c r="M995" s="11">
        <f t="shared" si="21"/>
        <v>710</v>
      </c>
    </row>
    <row r="996" spans="1:13">
      <c r="A996" s="7">
        <v>44825</v>
      </c>
      <c r="B996" s="8">
        <v>82.677685950413746</v>
      </c>
      <c r="E996" s="8">
        <v>86</v>
      </c>
      <c r="F996" s="10">
        <f>AVERAGE($E$733:E996)</f>
        <v>83.765151515151587</v>
      </c>
      <c r="I996" s="11">
        <v>3000</v>
      </c>
      <c r="J996" s="11">
        <v>-1900</v>
      </c>
      <c r="K996" s="11">
        <v>-561</v>
      </c>
      <c r="L996" s="11">
        <f t="shared" si="20"/>
        <v>-2461</v>
      </c>
      <c r="M996" s="11">
        <f t="shared" si="21"/>
        <v>539</v>
      </c>
    </row>
    <row r="997" spans="1:13">
      <c r="A997" s="7">
        <v>44826</v>
      </c>
      <c r="B997" s="8">
        <v>82.611570247934409</v>
      </c>
      <c r="E997" s="8">
        <v>86</v>
      </c>
      <c r="F997" s="10">
        <f>AVERAGE($E$733:E997)</f>
        <v>83.773584905660442</v>
      </c>
      <c r="I997" s="11">
        <v>3000</v>
      </c>
      <c r="J997" s="11">
        <v>-1900</v>
      </c>
      <c r="K997" s="11">
        <v>-703</v>
      </c>
      <c r="L997" s="11">
        <f t="shared" si="20"/>
        <v>-2603</v>
      </c>
      <c r="M997" s="11">
        <f t="shared" si="21"/>
        <v>397</v>
      </c>
    </row>
    <row r="998" spans="1:13">
      <c r="A998" s="7">
        <v>44827</v>
      </c>
      <c r="B998" s="8">
        <v>82.545454545455073</v>
      </c>
      <c r="E998" s="8">
        <v>86</v>
      </c>
      <c r="F998" s="10">
        <f>AVERAGE($E$733:E998)</f>
        <v>83.78195488721812</v>
      </c>
      <c r="I998" s="11">
        <v>3000</v>
      </c>
      <c r="J998" s="11">
        <v>-1900</v>
      </c>
      <c r="K998" s="11">
        <v>-120</v>
      </c>
      <c r="L998" s="11">
        <f t="shared" si="20"/>
        <v>-2020</v>
      </c>
      <c r="M998" s="11">
        <f t="shared" si="21"/>
        <v>980</v>
      </c>
    </row>
    <row r="999" spans="1:13">
      <c r="A999" s="7">
        <v>44828</v>
      </c>
      <c r="B999" s="8">
        <v>82.479338842975736</v>
      </c>
      <c r="E999" s="8">
        <v>86.1</v>
      </c>
      <c r="F999" s="10">
        <f>AVERAGE($E$733:E999)</f>
        <v>83.790636704119919</v>
      </c>
      <c r="I999" s="11">
        <v>3000</v>
      </c>
      <c r="J999" s="11">
        <v>-1900</v>
      </c>
      <c r="K999" s="11">
        <v>-587</v>
      </c>
      <c r="L999" s="11">
        <f t="shared" si="20"/>
        <v>-2487</v>
      </c>
      <c r="M999" s="11">
        <f t="shared" si="21"/>
        <v>513</v>
      </c>
    </row>
    <row r="1000" spans="1:13">
      <c r="A1000" s="7">
        <v>44829</v>
      </c>
      <c r="B1000" s="8">
        <v>82.413223140496399</v>
      </c>
      <c r="E1000" s="8">
        <v>87.9</v>
      </c>
      <c r="F1000" s="10">
        <f>AVERAGE($E$733:E1000)</f>
        <v>83.805970149253795</v>
      </c>
      <c r="I1000" s="11">
        <v>3000</v>
      </c>
      <c r="J1000" s="11">
        <v>-1900</v>
      </c>
      <c r="K1000" s="11">
        <v>-562</v>
      </c>
      <c r="L1000" s="11">
        <f t="shared" si="20"/>
        <v>-2462</v>
      </c>
      <c r="M1000" s="11">
        <f t="shared" si="21"/>
        <v>538</v>
      </c>
    </row>
    <row r="1001" spans="1:13">
      <c r="A1001" s="7">
        <v>44830</v>
      </c>
      <c r="B1001" s="8">
        <v>82.347107438017062</v>
      </c>
      <c r="E1001" s="8">
        <v>88.4</v>
      </c>
      <c r="F1001" s="10">
        <f>AVERAGE($E$733:E1001)</f>
        <v>83.823048327137613</v>
      </c>
      <c r="I1001" s="11">
        <v>1505</v>
      </c>
      <c r="J1001" s="11">
        <v>-1900</v>
      </c>
      <c r="K1001" s="11">
        <v>-959</v>
      </c>
      <c r="L1001" s="11">
        <f t="shared" si="20"/>
        <v>-2859</v>
      </c>
      <c r="M1001" s="11">
        <f t="shared" si="21"/>
        <v>-1354</v>
      </c>
    </row>
    <row r="1002" spans="1:13">
      <c r="A1002" s="7">
        <v>44831</v>
      </c>
      <c r="B1002" s="8">
        <v>82.280991735537725</v>
      </c>
      <c r="E1002" s="8">
        <v>86.8</v>
      </c>
      <c r="F1002" s="10">
        <f>AVERAGE($E$733:E1002)</f>
        <v>83.834074074074138</v>
      </c>
      <c r="I1002" s="11">
        <v>2860</v>
      </c>
      <c r="J1002" s="11">
        <v>-1900</v>
      </c>
      <c r="K1002" s="11">
        <v>-720</v>
      </c>
      <c r="L1002" s="11">
        <f t="shared" si="20"/>
        <v>-2620</v>
      </c>
      <c r="M1002" s="11">
        <f t="shared" si="21"/>
        <v>240</v>
      </c>
    </row>
    <row r="1003" spans="1:13">
      <c r="A1003" s="7">
        <v>44832</v>
      </c>
      <c r="B1003" s="8">
        <v>82.214876033058388</v>
      </c>
      <c r="E1003" s="8">
        <v>86.8</v>
      </c>
      <c r="F1003" s="10">
        <f>AVERAGE($E$733:E1003)</f>
        <v>83.845018450184568</v>
      </c>
      <c r="I1003" s="11">
        <v>1859</v>
      </c>
      <c r="J1003" s="11">
        <v>-1900</v>
      </c>
      <c r="K1003" s="11">
        <v>-757</v>
      </c>
      <c r="L1003" s="11">
        <f t="shared" si="20"/>
        <v>-2657</v>
      </c>
      <c r="M1003" s="11">
        <f t="shared" si="21"/>
        <v>-798</v>
      </c>
    </row>
    <row r="1004" spans="1:13">
      <c r="A1004" s="7">
        <v>44833</v>
      </c>
      <c r="B1004" s="8">
        <v>82.148760330579051</v>
      </c>
      <c r="E1004" s="8">
        <v>85.8</v>
      </c>
      <c r="F1004" s="10">
        <f>AVERAGE($E$733:E1004)</f>
        <v>83.852205882353005</v>
      </c>
      <c r="I1004" s="11">
        <v>2306</v>
      </c>
      <c r="J1004" s="11">
        <v>-1900</v>
      </c>
      <c r="K1004" s="11">
        <v>-582</v>
      </c>
      <c r="L1004" s="11">
        <f t="shared" si="20"/>
        <v>-2482</v>
      </c>
      <c r="M1004" s="11">
        <f t="shared" si="21"/>
        <v>-176</v>
      </c>
    </row>
    <row r="1005" spans="1:13">
      <c r="A1005" s="7">
        <v>44834</v>
      </c>
      <c r="B1005" s="8">
        <v>82.082644628099715</v>
      </c>
      <c r="E1005" s="8">
        <v>85.9</v>
      </c>
      <c r="F1005" s="10">
        <f>AVERAGE($E$733:E1005)</f>
        <v>83.859706959707026</v>
      </c>
      <c r="I1005" s="11">
        <v>2105</v>
      </c>
      <c r="J1005" s="11">
        <v>-1900</v>
      </c>
      <c r="K1005" s="11">
        <v>-751</v>
      </c>
      <c r="L1005" s="11">
        <f t="shared" si="20"/>
        <v>-2651</v>
      </c>
      <c r="M1005" s="11">
        <f t="shared" si="21"/>
        <v>-546</v>
      </c>
    </row>
    <row r="1006" spans="1:13">
      <c r="A1006" s="7">
        <v>44835</v>
      </c>
      <c r="B1006" s="8">
        <v>84.016528925620378</v>
      </c>
      <c r="E1006" s="8">
        <v>86.1</v>
      </c>
      <c r="F1006" s="10">
        <f>AVERAGE($E$733:E1006)</f>
        <v>83.867883211678901</v>
      </c>
      <c r="I1006" s="11">
        <v>2953</v>
      </c>
      <c r="J1006" s="11">
        <v>-1900</v>
      </c>
      <c r="K1006" s="11">
        <v>-765</v>
      </c>
      <c r="L1006" s="11">
        <f t="shared" si="20"/>
        <v>-2665</v>
      </c>
      <c r="M1006" s="11">
        <f t="shared" si="21"/>
        <v>288</v>
      </c>
    </row>
    <row r="1007" spans="1:13">
      <c r="A1007" s="7">
        <v>44836</v>
      </c>
      <c r="B1007" s="8">
        <v>83.950413223141041</v>
      </c>
      <c r="E1007" s="8">
        <v>87.6</v>
      </c>
      <c r="F1007" s="10">
        <f>AVERAGE($E$733:E1007)</f>
        <v>83.881454545454602</v>
      </c>
      <c r="I1007" s="11">
        <v>2548</v>
      </c>
      <c r="J1007" s="11">
        <v>-1900</v>
      </c>
      <c r="K1007" s="11">
        <v>-755</v>
      </c>
      <c r="L1007" s="11">
        <f t="shared" si="20"/>
        <v>-2655</v>
      </c>
      <c r="M1007" s="11">
        <f t="shared" si="21"/>
        <v>-107</v>
      </c>
    </row>
    <row r="1008" spans="1:13">
      <c r="A1008" s="7">
        <v>44837</v>
      </c>
      <c r="B1008" s="8">
        <v>83.884297520661704</v>
      </c>
      <c r="E1008" s="8">
        <v>86.8</v>
      </c>
      <c r="F1008" s="10">
        <f>AVERAGE($E$733:E1008)</f>
        <v>83.892028985507295</v>
      </c>
      <c r="I1008" s="11">
        <v>1955</v>
      </c>
      <c r="J1008" s="11">
        <v>-1900</v>
      </c>
      <c r="K1008" s="11">
        <v>-877</v>
      </c>
      <c r="L1008" s="11">
        <f t="shared" si="20"/>
        <v>-2777</v>
      </c>
      <c r="M1008" s="11">
        <f t="shared" si="21"/>
        <v>-822</v>
      </c>
    </row>
    <row r="1009" spans="1:13">
      <c r="A1009" s="7">
        <v>44838</v>
      </c>
      <c r="B1009" s="8">
        <v>83.818181818182367</v>
      </c>
      <c r="E1009" s="8">
        <v>86.8</v>
      </c>
      <c r="F1009" s="10">
        <f>AVERAGE($E$733:E1009)</f>
        <v>83.90252707581233</v>
      </c>
      <c r="I1009" s="11">
        <v>1939</v>
      </c>
      <c r="J1009" s="11">
        <v>-1900</v>
      </c>
      <c r="K1009" s="11">
        <v>-677</v>
      </c>
      <c r="L1009" s="11">
        <f t="shared" si="20"/>
        <v>-2577</v>
      </c>
      <c r="M1009" s="11">
        <f t="shared" si="21"/>
        <v>-638</v>
      </c>
    </row>
    <row r="1010" spans="1:13">
      <c r="A1010" s="7">
        <v>44839</v>
      </c>
      <c r="B1010" s="8">
        <v>83.75206611570303</v>
      </c>
      <c r="E1010" s="8">
        <v>86.8</v>
      </c>
      <c r="F1010" s="10">
        <f>AVERAGE($E$733:E1010)</f>
        <v>83.91294964028782</v>
      </c>
      <c r="I1010" s="11">
        <v>2125</v>
      </c>
      <c r="J1010" s="11">
        <v>-1900</v>
      </c>
      <c r="K1010" s="11">
        <v>-1018</v>
      </c>
      <c r="L1010" s="11">
        <f t="shared" si="20"/>
        <v>-2918</v>
      </c>
      <c r="M1010" s="11">
        <f t="shared" si="21"/>
        <v>-793</v>
      </c>
    </row>
    <row r="1011" spans="1:13">
      <c r="A1011" s="7">
        <v>44840</v>
      </c>
      <c r="B1011" s="8">
        <v>83.685950413223694</v>
      </c>
      <c r="E1011" s="8">
        <v>85.4</v>
      </c>
      <c r="F1011" s="10">
        <f>AVERAGE($E$733:E1011)</f>
        <v>83.918279569892533</v>
      </c>
      <c r="I1011" s="11">
        <v>2004</v>
      </c>
      <c r="J1011" s="11">
        <v>-1900</v>
      </c>
      <c r="K1011" s="11">
        <v>-1827</v>
      </c>
      <c r="L1011" s="11">
        <f t="shared" si="20"/>
        <v>-3727</v>
      </c>
      <c r="M1011" s="11">
        <f t="shared" si="21"/>
        <v>-1723</v>
      </c>
    </row>
    <row r="1012" spans="1:13">
      <c r="A1012" s="7">
        <v>44841</v>
      </c>
      <c r="B1012" s="8">
        <v>83.619834710744357</v>
      </c>
      <c r="E1012" s="8">
        <v>85.6</v>
      </c>
      <c r="F1012" s="10">
        <f>AVERAGE($E$733:E1012)</f>
        <v>83.924285714285759</v>
      </c>
      <c r="I1012" s="11">
        <v>2811</v>
      </c>
      <c r="J1012" s="11">
        <v>-1900</v>
      </c>
      <c r="K1012" s="11">
        <v>-724</v>
      </c>
      <c r="L1012" s="11">
        <f t="shared" si="20"/>
        <v>-2624</v>
      </c>
      <c r="M1012" s="11">
        <f t="shared" si="21"/>
        <v>187</v>
      </c>
    </row>
    <row r="1013" spans="1:13">
      <c r="A1013" s="7">
        <v>44842</v>
      </c>
      <c r="B1013" s="8">
        <v>83.55371900826502</v>
      </c>
      <c r="E1013" s="8">
        <v>86.4</v>
      </c>
      <c r="F1013" s="10">
        <f>AVERAGE($E$733:E1013)</f>
        <v>83.933096085409304</v>
      </c>
      <c r="I1013" s="11">
        <v>3598</v>
      </c>
      <c r="J1013" s="11">
        <v>-1900</v>
      </c>
      <c r="K1013" s="11">
        <v>-2804</v>
      </c>
      <c r="L1013" s="11">
        <f t="shared" si="20"/>
        <v>-4704</v>
      </c>
      <c r="M1013" s="11">
        <f t="shared" si="21"/>
        <v>-1106</v>
      </c>
    </row>
    <row r="1014" spans="1:13">
      <c r="A1014" s="7">
        <v>44843</v>
      </c>
      <c r="B1014" s="8">
        <v>83.487603305785683</v>
      </c>
      <c r="E1014" s="8">
        <v>87.1</v>
      </c>
      <c r="F1014" s="10">
        <f>AVERAGE($E$733:E1014)</f>
        <v>83.944326241134803</v>
      </c>
      <c r="I1014" s="11">
        <v>2680</v>
      </c>
      <c r="J1014" s="11">
        <v>-1900</v>
      </c>
      <c r="K1014" s="11">
        <v>-960</v>
      </c>
      <c r="L1014" s="11">
        <f t="shared" si="20"/>
        <v>-2860</v>
      </c>
      <c r="M1014" s="11">
        <f t="shared" si="21"/>
        <v>-180</v>
      </c>
    </row>
    <row r="1015" spans="1:13">
      <c r="A1015" s="7">
        <v>44844</v>
      </c>
      <c r="B1015" s="8">
        <v>83.421487603306346</v>
      </c>
      <c r="E1015" s="8">
        <v>86.2</v>
      </c>
      <c r="F1015" s="10">
        <f>AVERAGE($E$733:E1015)</f>
        <v>83.952296819788032</v>
      </c>
      <c r="I1015" s="11">
        <v>2478</v>
      </c>
      <c r="J1015" s="11">
        <v>-1900</v>
      </c>
      <c r="K1015" s="11">
        <v>-904</v>
      </c>
      <c r="L1015" s="11">
        <f t="shared" si="20"/>
        <v>-2804</v>
      </c>
      <c r="M1015" s="11">
        <f t="shared" si="21"/>
        <v>-326</v>
      </c>
    </row>
    <row r="1016" spans="1:13">
      <c r="A1016" s="7">
        <v>44845</v>
      </c>
      <c r="B1016" s="8">
        <v>83.355371900827009</v>
      </c>
      <c r="E1016" s="8">
        <v>86.6</v>
      </c>
      <c r="F1016" s="10">
        <f>AVERAGE($E$733:E1016)</f>
        <v>83.961619718309905</v>
      </c>
      <c r="I1016" s="11">
        <v>2887</v>
      </c>
      <c r="J1016" s="11">
        <v>-1900</v>
      </c>
      <c r="K1016" s="11">
        <v>-657</v>
      </c>
      <c r="L1016" s="11">
        <f t="shared" si="20"/>
        <v>-2557</v>
      </c>
      <c r="M1016" s="11">
        <f t="shared" si="21"/>
        <v>330</v>
      </c>
    </row>
    <row r="1017" spans="1:13">
      <c r="A1017" s="7">
        <v>44846</v>
      </c>
      <c r="B1017" s="8">
        <v>83.289256198347672</v>
      </c>
      <c r="E1017" s="8">
        <v>85.7</v>
      </c>
      <c r="F1017" s="10">
        <f>AVERAGE($E$733:E1017)</f>
        <v>83.967719298245669</v>
      </c>
      <c r="I1017" s="11">
        <v>2365</v>
      </c>
      <c r="J1017" s="11">
        <v>-1900</v>
      </c>
      <c r="K1017" s="11">
        <v>-770</v>
      </c>
      <c r="L1017" s="11">
        <f t="shared" si="20"/>
        <v>-2670</v>
      </c>
      <c r="M1017" s="11">
        <f t="shared" si="21"/>
        <v>-305</v>
      </c>
    </row>
    <row r="1018" spans="1:13">
      <c r="A1018" s="7">
        <v>44847</v>
      </c>
      <c r="B1018" s="8">
        <v>83.223140495868336</v>
      </c>
      <c r="E1018" s="8">
        <v>85.7</v>
      </c>
      <c r="F1018" s="10">
        <f>AVERAGE($E$733:E1018)</f>
        <v>83.973776223776269</v>
      </c>
      <c r="I1018" s="11">
        <v>2793</v>
      </c>
      <c r="J1018" s="11">
        <v>-1900</v>
      </c>
      <c r="K1018" s="11">
        <v>-1003</v>
      </c>
      <c r="L1018" s="11">
        <f t="shared" si="20"/>
        <v>-2903</v>
      </c>
      <c r="M1018" s="11">
        <f t="shared" si="21"/>
        <v>-110</v>
      </c>
    </row>
    <row r="1019" spans="1:13">
      <c r="A1019" s="7">
        <v>44848</v>
      </c>
      <c r="B1019" s="8">
        <v>83.157024793388999</v>
      </c>
      <c r="E1019" s="8">
        <v>86.5</v>
      </c>
      <c r="F1019" s="10">
        <f>AVERAGE($E$733:E1019)</f>
        <v>83.982578397212592</v>
      </c>
      <c r="I1019" s="11">
        <v>2889</v>
      </c>
      <c r="J1019" s="11">
        <v>-1900</v>
      </c>
      <c r="K1019" s="11">
        <v>-821</v>
      </c>
      <c r="L1019" s="11">
        <f t="shared" si="20"/>
        <v>-2721</v>
      </c>
      <c r="M1019" s="11">
        <f t="shared" si="21"/>
        <v>168</v>
      </c>
    </row>
    <row r="1020" spans="1:13">
      <c r="A1020" s="7">
        <v>44849</v>
      </c>
      <c r="B1020" s="8">
        <v>83.090909090909662</v>
      </c>
      <c r="E1020" s="8">
        <v>87.1</v>
      </c>
      <c r="F1020" s="10">
        <f>AVERAGE($E$733:E1020)</f>
        <v>83.993402777777817</v>
      </c>
      <c r="I1020" s="11">
        <v>3000</v>
      </c>
      <c r="J1020" s="11">
        <v>-1900</v>
      </c>
      <c r="K1020" s="11">
        <v>-734</v>
      </c>
      <c r="L1020" s="11">
        <f t="shared" si="20"/>
        <v>-2634</v>
      </c>
      <c r="M1020" s="11">
        <f t="shared" si="21"/>
        <v>366</v>
      </c>
    </row>
    <row r="1021" spans="1:13">
      <c r="A1021" s="7">
        <v>44850</v>
      </c>
      <c r="B1021" s="8">
        <v>83.024793388430325</v>
      </c>
      <c r="E1021" s="8">
        <v>88</v>
      </c>
      <c r="F1021" s="10">
        <f>AVERAGE($E$733:E1021)</f>
        <v>84.00726643598621</v>
      </c>
      <c r="I1021" s="11">
        <v>3000</v>
      </c>
      <c r="J1021" s="11">
        <v>-1900</v>
      </c>
      <c r="K1021" s="11">
        <v>-533</v>
      </c>
      <c r="L1021" s="11">
        <f t="shared" si="20"/>
        <v>-2433</v>
      </c>
      <c r="M1021" s="11">
        <f t="shared" si="21"/>
        <v>567</v>
      </c>
    </row>
    <row r="1022" spans="1:13">
      <c r="A1022" s="7">
        <v>44851</v>
      </c>
      <c r="B1022" s="8">
        <v>82.958677685950988</v>
      </c>
      <c r="E1022" s="8">
        <v>88.8</v>
      </c>
      <c r="F1022" s="10">
        <f>AVERAGE($E$733:E1022)</f>
        <v>84.023793103448313</v>
      </c>
      <c r="I1022" s="11">
        <v>1642</v>
      </c>
      <c r="J1022" s="11">
        <v>-1900</v>
      </c>
      <c r="K1022" s="11">
        <v>-1455</v>
      </c>
      <c r="L1022" s="11">
        <f t="shared" si="20"/>
        <v>-3355</v>
      </c>
      <c r="M1022" s="11">
        <f t="shared" si="21"/>
        <v>-1713</v>
      </c>
    </row>
    <row r="1023" spans="1:13">
      <c r="A1023" s="7">
        <v>44852</v>
      </c>
      <c r="B1023" s="8">
        <v>82.892561983471651</v>
      </c>
      <c r="E1023" s="8">
        <v>86.9</v>
      </c>
      <c r="F1023" s="10">
        <f>AVERAGE($E$733:E1023)</f>
        <v>84.03367697594507</v>
      </c>
      <c r="I1023" s="11">
        <v>1942</v>
      </c>
      <c r="J1023" s="11">
        <v>-1900</v>
      </c>
      <c r="K1023" s="11">
        <v>-888</v>
      </c>
      <c r="L1023" s="11">
        <f t="shared" si="20"/>
        <v>-2788</v>
      </c>
      <c r="M1023" s="11">
        <f t="shared" si="21"/>
        <v>-846</v>
      </c>
    </row>
    <row r="1024" spans="1:13">
      <c r="A1024" s="7">
        <v>44853</v>
      </c>
      <c r="B1024" s="8">
        <v>82.826446280992315</v>
      </c>
      <c r="E1024" s="8">
        <v>86.9</v>
      </c>
      <c r="F1024" s="10">
        <f>AVERAGE($E$733:E1024)</f>
        <v>84.043493150684981</v>
      </c>
      <c r="I1024" s="11">
        <v>2138</v>
      </c>
      <c r="J1024" s="11">
        <v>-1900</v>
      </c>
      <c r="K1024" s="11">
        <v>-1104</v>
      </c>
      <c r="L1024" s="11">
        <f t="shared" si="20"/>
        <v>-3004</v>
      </c>
      <c r="M1024" s="11">
        <f t="shared" si="21"/>
        <v>-866</v>
      </c>
    </row>
    <row r="1025" spans="1:17">
      <c r="A1025" s="7">
        <v>44854</v>
      </c>
      <c r="B1025" s="8">
        <v>82.760330578512978</v>
      </c>
      <c r="E1025" s="8">
        <v>86.8</v>
      </c>
      <c r="F1025" s="10">
        <f>AVERAGE($E$733:E1025)</f>
        <v>84.05290102389084</v>
      </c>
      <c r="I1025" s="11">
        <v>2616</v>
      </c>
      <c r="J1025" s="11">
        <v>-1900</v>
      </c>
      <c r="K1025" s="11">
        <v>-812</v>
      </c>
      <c r="L1025" s="11">
        <f t="shared" si="20"/>
        <v>-2712</v>
      </c>
      <c r="M1025" s="11">
        <f t="shared" si="21"/>
        <v>-96</v>
      </c>
    </row>
    <row r="1026" spans="1:17">
      <c r="A1026" s="7">
        <v>44855</v>
      </c>
      <c r="B1026" s="8">
        <v>82.694214876033641</v>
      </c>
      <c r="E1026" s="8">
        <v>86.1</v>
      </c>
      <c r="F1026" s="10">
        <f>AVERAGE($E$733:E1026)</f>
        <v>84.059863945578272</v>
      </c>
      <c r="I1026" s="11">
        <v>2836</v>
      </c>
      <c r="J1026" s="11">
        <v>-1900</v>
      </c>
      <c r="K1026" s="11">
        <v>-1377</v>
      </c>
      <c r="L1026" s="11">
        <f t="shared" si="20"/>
        <v>-3277</v>
      </c>
      <c r="M1026" s="11">
        <f t="shared" si="21"/>
        <v>-441</v>
      </c>
    </row>
    <row r="1027" spans="1:17">
      <c r="A1027" s="7">
        <v>44856</v>
      </c>
      <c r="B1027" s="8">
        <v>82.628099173554304</v>
      </c>
      <c r="E1027" s="8">
        <v>86.4</v>
      </c>
      <c r="F1027" s="10">
        <f>AVERAGE($E$733:E1027)</f>
        <v>84.067796610169538</v>
      </c>
      <c r="I1027" s="11">
        <v>3226</v>
      </c>
      <c r="J1027" s="11">
        <v>-1900</v>
      </c>
      <c r="K1027" s="11">
        <v>-945</v>
      </c>
      <c r="L1027" s="11">
        <f t="shared" si="20"/>
        <v>-2845</v>
      </c>
      <c r="M1027" s="11">
        <f t="shared" si="21"/>
        <v>381</v>
      </c>
    </row>
    <row r="1028" spans="1:17">
      <c r="A1028" s="7">
        <v>44857</v>
      </c>
      <c r="B1028" s="8">
        <v>82.561983471074967</v>
      </c>
      <c r="E1028" s="8">
        <v>87.5</v>
      </c>
      <c r="F1028" s="10">
        <f>AVERAGE($E$733:E1028)</f>
        <v>84.079391891891945</v>
      </c>
      <c r="I1028" s="11">
        <v>2766</v>
      </c>
      <c r="J1028" s="11">
        <v>-1900</v>
      </c>
      <c r="K1028" s="11">
        <v>-755</v>
      </c>
      <c r="L1028" s="11">
        <f t="shared" si="20"/>
        <v>-2655</v>
      </c>
      <c r="M1028" s="11">
        <f t="shared" si="21"/>
        <v>111</v>
      </c>
    </row>
    <row r="1029" spans="1:17">
      <c r="A1029" s="7">
        <v>44858</v>
      </c>
      <c r="B1029" s="8">
        <v>82.49586776859563</v>
      </c>
      <c r="E1029" s="8">
        <v>88.3</v>
      </c>
      <c r="F1029" s="10">
        <f>AVERAGE($E$733:E1029)</f>
        <v>84.093602693602733</v>
      </c>
      <c r="I1029" s="11">
        <v>2325</v>
      </c>
      <c r="J1029" s="11">
        <v>-1900</v>
      </c>
      <c r="K1029" s="11">
        <v>-1374</v>
      </c>
      <c r="L1029" s="11">
        <f t="shared" si="20"/>
        <v>-3274</v>
      </c>
      <c r="M1029" s="11">
        <f t="shared" si="21"/>
        <v>-949</v>
      </c>
    </row>
    <row r="1030" spans="1:17">
      <c r="A1030" s="7">
        <v>44859</v>
      </c>
      <c r="B1030" s="8">
        <v>82.429752066116293</v>
      </c>
      <c r="E1030" s="8">
        <v>87</v>
      </c>
      <c r="F1030" s="10">
        <f>AVERAGE($E$733:E1030)</f>
        <v>84.103355704698032</v>
      </c>
      <c r="I1030" s="11">
        <v>2786</v>
      </c>
      <c r="J1030" s="11">
        <v>-1900</v>
      </c>
      <c r="K1030" s="11">
        <v>-727</v>
      </c>
      <c r="L1030" s="11">
        <f t="shared" si="20"/>
        <v>-2627</v>
      </c>
      <c r="M1030" s="11">
        <f t="shared" si="21"/>
        <v>159</v>
      </c>
    </row>
    <row r="1031" spans="1:17" ht="15" thickBot="1">
      <c r="A1031" s="21">
        <v>44860</v>
      </c>
      <c r="B1031" s="22">
        <v>82.363636363636957</v>
      </c>
      <c r="C1031" s="23"/>
      <c r="D1031" s="24"/>
      <c r="E1031" s="22">
        <v>87</v>
      </c>
      <c r="F1031" s="24">
        <f>AVERAGE($E$733:E1031)</f>
        <v>84.11304347826092</v>
      </c>
      <c r="G1031" s="23"/>
      <c r="H1031" s="24"/>
      <c r="I1031" s="25">
        <v>2120</v>
      </c>
      <c r="J1031" s="25">
        <v>-1900</v>
      </c>
      <c r="K1031" s="25">
        <v>-1463</v>
      </c>
      <c r="L1031" s="25">
        <f t="shared" si="20"/>
        <v>-3363</v>
      </c>
      <c r="M1031" s="25">
        <f t="shared" si="21"/>
        <v>-1243</v>
      </c>
      <c r="N1031" s="25"/>
      <c r="O1031" s="26"/>
      <c r="P1031" s="26"/>
      <c r="Q1031" s="26"/>
    </row>
    <row r="1032" spans="1:17" ht="15" thickTop="1">
      <c r="A1032" s="7">
        <v>44861</v>
      </c>
      <c r="B1032" s="8">
        <v>82.29752066115762</v>
      </c>
      <c r="E1032" s="8">
        <v>86</v>
      </c>
      <c r="F1032" s="10">
        <f>AVERAGE($E$733:E1032)</f>
        <v>84.119333333333373</v>
      </c>
      <c r="I1032" s="11">
        <v>1680</v>
      </c>
      <c r="J1032" s="11">
        <v>-1900</v>
      </c>
      <c r="K1032" s="11">
        <v>-690</v>
      </c>
      <c r="L1032" s="11">
        <f t="shared" si="20"/>
        <v>-2590</v>
      </c>
      <c r="M1032" s="11">
        <f t="shared" si="21"/>
        <v>-910</v>
      </c>
    </row>
    <row r="1033" spans="1:17">
      <c r="A1033" s="7">
        <v>44862</v>
      </c>
      <c r="B1033" s="8">
        <v>82.231404958678283</v>
      </c>
      <c r="E1033" s="8">
        <v>85.9</v>
      </c>
      <c r="F1033" s="10">
        <f>AVERAGE($E$733:E1033)</f>
        <v>84.125249169435264</v>
      </c>
      <c r="I1033" s="11">
        <v>2101</v>
      </c>
      <c r="J1033" s="11">
        <v>-1900</v>
      </c>
      <c r="K1033" s="11">
        <v>-940</v>
      </c>
      <c r="L1033" s="11">
        <f t="shared" si="20"/>
        <v>-2840</v>
      </c>
      <c r="M1033" s="11">
        <f t="shared" si="21"/>
        <v>-739</v>
      </c>
    </row>
    <row r="1034" spans="1:17">
      <c r="A1034" s="7">
        <v>44863</v>
      </c>
      <c r="B1034" s="8">
        <v>82.165289256198946</v>
      </c>
      <c r="E1034" s="8">
        <v>85.9</v>
      </c>
      <c r="F1034" s="10">
        <f>AVERAGE($E$733:E1034)</f>
        <v>84.131125827814628</v>
      </c>
      <c r="I1034" s="11">
        <v>1700</v>
      </c>
      <c r="J1034" s="11">
        <v>-1900</v>
      </c>
      <c r="K1034" s="11">
        <v>-1910</v>
      </c>
      <c r="L1034" s="11">
        <f t="shared" si="20"/>
        <v>-3810</v>
      </c>
      <c r="M1034" s="11">
        <f t="shared" si="21"/>
        <v>-2110</v>
      </c>
    </row>
    <row r="1035" spans="1:17">
      <c r="A1035" s="7">
        <v>44864</v>
      </c>
      <c r="B1035" s="8">
        <v>82.099173553719609</v>
      </c>
      <c r="E1035" s="8">
        <v>85.9</v>
      </c>
      <c r="F1035" s="10">
        <f>AVERAGE($E$733:E1035)</f>
        <v>84.136963696369691</v>
      </c>
      <c r="I1035" s="11">
        <v>1736</v>
      </c>
      <c r="J1035" s="11">
        <v>-1900</v>
      </c>
      <c r="K1035" s="11">
        <v>-1724</v>
      </c>
      <c r="L1035" s="11">
        <f t="shared" si="20"/>
        <v>-3624</v>
      </c>
      <c r="M1035" s="11">
        <f t="shared" si="21"/>
        <v>-1888</v>
      </c>
    </row>
    <row r="1036" spans="1:17">
      <c r="A1036" s="7">
        <v>44865</v>
      </c>
      <c r="B1036" s="8">
        <v>82.033057851240272</v>
      </c>
      <c r="E1036" s="8">
        <v>86</v>
      </c>
      <c r="F1036" s="10">
        <f>AVERAGE($E$733:E1036)</f>
        <v>84.143092105263221</v>
      </c>
      <c r="I1036" s="11">
        <v>1951</v>
      </c>
      <c r="J1036" s="11">
        <v>-1900</v>
      </c>
      <c r="K1036" s="11">
        <v>-1332</v>
      </c>
      <c r="L1036" s="11">
        <f t="shared" si="20"/>
        <v>-3232</v>
      </c>
      <c r="M1036" s="11">
        <f t="shared" si="21"/>
        <v>-1281</v>
      </c>
    </row>
    <row r="1037" spans="1:17">
      <c r="A1037" s="7">
        <v>44866</v>
      </c>
      <c r="B1037" s="8">
        <v>85.966942148760936</v>
      </c>
      <c r="E1037" s="8">
        <v>85</v>
      </c>
      <c r="F1037" s="10">
        <f>AVERAGE($E$733:E1037)</f>
        <v>84.145901639344316</v>
      </c>
      <c r="I1037" s="11">
        <v>2159</v>
      </c>
      <c r="J1037" s="11">
        <v>-1900</v>
      </c>
      <c r="K1037" s="11">
        <v>-1331</v>
      </c>
      <c r="L1037" s="11">
        <f t="shared" si="20"/>
        <v>-3231</v>
      </c>
      <c r="M1037" s="11">
        <f t="shared" si="21"/>
        <v>-1072</v>
      </c>
    </row>
    <row r="1038" spans="1:17">
      <c r="A1038" s="7">
        <v>44867</v>
      </c>
      <c r="B1038" s="8">
        <v>85.867768595041923</v>
      </c>
      <c r="E1038" s="8">
        <v>84.8</v>
      </c>
      <c r="F1038" s="10">
        <f>AVERAGE($E$733:E1038)</f>
        <v>84.148039215686325</v>
      </c>
      <c r="I1038" s="11">
        <v>2602</v>
      </c>
      <c r="J1038" s="11">
        <v>-1900</v>
      </c>
      <c r="K1038" s="11">
        <v>-1330</v>
      </c>
      <c r="L1038" s="11">
        <f t="shared" si="20"/>
        <v>-3230</v>
      </c>
      <c r="M1038" s="11">
        <f t="shared" si="21"/>
        <v>-628</v>
      </c>
    </row>
    <row r="1039" spans="1:17">
      <c r="A1039" s="7">
        <v>44868</v>
      </c>
      <c r="B1039" s="8">
        <v>85.768595041322911</v>
      </c>
      <c r="E1039" s="8">
        <v>84.1</v>
      </c>
      <c r="F1039" s="10">
        <f>AVERAGE($E$733:E1039)</f>
        <v>84.147882736156404</v>
      </c>
      <c r="I1039" s="11">
        <v>1775</v>
      </c>
      <c r="J1039" s="11">
        <v>-1900</v>
      </c>
      <c r="K1039" s="11">
        <v>-1329</v>
      </c>
      <c r="L1039" s="11">
        <f t="shared" si="20"/>
        <v>-3229</v>
      </c>
      <c r="M1039" s="11">
        <f t="shared" si="21"/>
        <v>-1454</v>
      </c>
    </row>
    <row r="1040" spans="1:17">
      <c r="A1040" s="7">
        <v>44869</v>
      </c>
      <c r="B1040" s="8">
        <v>85.669421487603898</v>
      </c>
      <c r="E1040" s="8">
        <v>84</v>
      </c>
      <c r="F1040" s="10">
        <f>AVERAGE($E$733:E1040)</f>
        <v>84.147402597402646</v>
      </c>
      <c r="I1040" s="11">
        <v>1948</v>
      </c>
      <c r="J1040" s="11">
        <v>-1900</v>
      </c>
      <c r="K1040" s="11">
        <v>-1328</v>
      </c>
      <c r="L1040" s="11">
        <f t="shared" si="20"/>
        <v>-3228</v>
      </c>
      <c r="M1040" s="11">
        <f t="shared" si="21"/>
        <v>-1280</v>
      </c>
    </row>
    <row r="1041" spans="1:13">
      <c r="A1041" s="7">
        <v>44870</v>
      </c>
      <c r="B1041" s="8">
        <v>85.570247933884886</v>
      </c>
      <c r="E1041" s="8">
        <v>83.6</v>
      </c>
      <c r="F1041" s="10">
        <f>AVERAGE($E$733:E1041)</f>
        <v>84.145631067961219</v>
      </c>
      <c r="I1041" s="11">
        <v>3233</v>
      </c>
      <c r="J1041" s="11">
        <v>-1900</v>
      </c>
      <c r="K1041" s="11">
        <v>-1327</v>
      </c>
      <c r="L1041" s="11">
        <f t="shared" si="20"/>
        <v>-3227</v>
      </c>
      <c r="M1041" s="11">
        <f t="shared" si="21"/>
        <v>6</v>
      </c>
    </row>
    <row r="1042" spans="1:13">
      <c r="A1042" s="7">
        <v>44871</v>
      </c>
      <c r="B1042" s="8">
        <v>85.471074380165874</v>
      </c>
      <c r="E1042" s="8">
        <v>86</v>
      </c>
      <c r="F1042" s="10">
        <f>AVERAGE($E$733:E1042)</f>
        <v>84.151612903225853</v>
      </c>
      <c r="I1042" s="11">
        <v>2023</v>
      </c>
      <c r="J1042" s="11">
        <v>-1900</v>
      </c>
      <c r="K1042" s="11">
        <v>-1326</v>
      </c>
      <c r="L1042" s="11">
        <f t="shared" si="20"/>
        <v>-3226</v>
      </c>
      <c r="M1042" s="11">
        <f t="shared" si="21"/>
        <v>-1203</v>
      </c>
    </row>
    <row r="1043" spans="1:13">
      <c r="A1043" s="7">
        <v>44872</v>
      </c>
      <c r="B1043" s="8">
        <v>85.371900826446861</v>
      </c>
      <c r="E1043" s="8">
        <v>85.1</v>
      </c>
      <c r="F1043" s="10">
        <f>AVERAGE($E$733:E1043)</f>
        <v>84.154662379421268</v>
      </c>
      <c r="I1043" s="11">
        <v>2361</v>
      </c>
      <c r="J1043" s="11">
        <v>-1900</v>
      </c>
      <c r="K1043" s="11">
        <v>-1325</v>
      </c>
      <c r="L1043" s="11">
        <f t="shared" si="20"/>
        <v>-3225</v>
      </c>
      <c r="M1043" s="11">
        <f t="shared" si="21"/>
        <v>-864</v>
      </c>
    </row>
    <row r="1044" spans="1:13">
      <c r="A1044" s="7">
        <v>44873</v>
      </c>
      <c r="B1044" s="8">
        <v>85.272727272727849</v>
      </c>
      <c r="E1044" s="8">
        <v>85.8</v>
      </c>
      <c r="F1044" s="10">
        <f>AVERAGE($E$733:E1044)</f>
        <v>84.159935897435943</v>
      </c>
      <c r="I1044" s="11">
        <v>3000</v>
      </c>
      <c r="J1044" s="11">
        <v>-1900</v>
      </c>
      <c r="K1044" s="11">
        <v>-1324</v>
      </c>
      <c r="L1044" s="11">
        <f t="shared" si="20"/>
        <v>-3224</v>
      </c>
      <c r="M1044" s="11">
        <f t="shared" si="21"/>
        <v>-224</v>
      </c>
    </row>
    <row r="1045" spans="1:13">
      <c r="A1045" s="7">
        <v>44874</v>
      </c>
      <c r="B1045" s="8">
        <v>85.173553719008837</v>
      </c>
      <c r="E1045" s="8">
        <v>86.5</v>
      </c>
      <c r="F1045" s="10">
        <f>AVERAGE($E$733:E1045)</f>
        <v>84.167412140575124</v>
      </c>
      <c r="I1045" s="11">
        <v>3500</v>
      </c>
      <c r="J1045" s="11">
        <v>-1900</v>
      </c>
      <c r="K1045" s="11">
        <v>-1323</v>
      </c>
      <c r="L1045" s="11">
        <f t="shared" si="20"/>
        <v>-3223</v>
      </c>
      <c r="M1045" s="11">
        <f t="shared" si="21"/>
        <v>277</v>
      </c>
    </row>
    <row r="1046" spans="1:13">
      <c r="A1046" s="7">
        <v>44875</v>
      </c>
      <c r="B1046" s="8">
        <v>85.074380165289824</v>
      </c>
      <c r="E1046" s="8">
        <v>85.2</v>
      </c>
      <c r="F1046" s="10">
        <f>AVERAGE($E$733:E1046)</f>
        <v>84.170700636942712</v>
      </c>
      <c r="I1046" s="11">
        <v>3500</v>
      </c>
      <c r="J1046" s="11">
        <v>-1900</v>
      </c>
      <c r="K1046" s="11">
        <v>-1322</v>
      </c>
      <c r="L1046" s="11">
        <f t="shared" si="20"/>
        <v>-3222</v>
      </c>
      <c r="M1046" s="11">
        <f t="shared" si="21"/>
        <v>278</v>
      </c>
    </row>
    <row r="1047" spans="1:13">
      <c r="A1047" s="7">
        <v>44876</v>
      </c>
      <c r="B1047" s="8">
        <v>84.975206611570812</v>
      </c>
      <c r="E1047" s="8">
        <v>85.9</v>
      </c>
      <c r="F1047" s="10">
        <f>AVERAGE($E$733:E1047)</f>
        <v>84.176190476190527</v>
      </c>
      <c r="I1047" s="11">
        <v>3500</v>
      </c>
      <c r="J1047" s="11">
        <v>-1900</v>
      </c>
      <c r="K1047" s="11">
        <v>-1321</v>
      </c>
      <c r="L1047" s="11">
        <f t="shared" si="20"/>
        <v>-3221</v>
      </c>
      <c r="M1047" s="11">
        <f t="shared" si="21"/>
        <v>279</v>
      </c>
    </row>
    <row r="1048" spans="1:13">
      <c r="A1048" s="7">
        <v>44877</v>
      </c>
      <c r="B1048" s="8">
        <v>84.876033057851799</v>
      </c>
      <c r="E1048" s="8">
        <v>87.1</v>
      </c>
      <c r="F1048" s="10">
        <f>AVERAGE($E$733:E1048)</f>
        <v>84.185443037974721</v>
      </c>
      <c r="I1048" s="11">
        <v>4000</v>
      </c>
      <c r="J1048" s="11">
        <v>-1900</v>
      </c>
      <c r="K1048" s="11">
        <v>-1320</v>
      </c>
      <c r="L1048" s="11">
        <f t="shared" si="20"/>
        <v>-3220</v>
      </c>
      <c r="M1048" s="11">
        <f t="shared" si="21"/>
        <v>780</v>
      </c>
    </row>
    <row r="1049" spans="1:13">
      <c r="A1049" s="7">
        <v>44878</v>
      </c>
      <c r="B1049" s="8">
        <v>84.776859504132787</v>
      </c>
      <c r="E1049" s="8">
        <v>88.9</v>
      </c>
      <c r="F1049" s="10">
        <f>AVERAGE($E$733:E1049)</f>
        <v>84.200315457413296</v>
      </c>
      <c r="I1049" s="11">
        <v>3000</v>
      </c>
      <c r="J1049" s="11">
        <v>-1900</v>
      </c>
      <c r="K1049" s="11">
        <v>-1319</v>
      </c>
      <c r="L1049" s="11">
        <f t="shared" si="20"/>
        <v>-3219</v>
      </c>
      <c r="M1049" s="11">
        <f t="shared" si="21"/>
        <v>-219</v>
      </c>
    </row>
    <row r="1050" spans="1:13">
      <c r="A1050" s="7">
        <v>44879</v>
      </c>
      <c r="B1050" s="8">
        <v>84.677685950413775</v>
      </c>
      <c r="E1050" s="8">
        <v>88.1</v>
      </c>
      <c r="F1050" s="10">
        <f>AVERAGE($E$733:E1050)</f>
        <v>84.212578616352246</v>
      </c>
      <c r="I1050" s="11">
        <v>1906</v>
      </c>
      <c r="J1050" s="11">
        <v>-1900</v>
      </c>
      <c r="K1050" s="11">
        <v>-1318</v>
      </c>
      <c r="L1050" s="11">
        <f t="shared" si="20"/>
        <v>-3218</v>
      </c>
      <c r="M1050" s="11">
        <f t="shared" si="21"/>
        <v>-1312</v>
      </c>
    </row>
    <row r="1051" spans="1:13">
      <c r="A1051" s="7">
        <v>44880</v>
      </c>
      <c r="B1051" s="8">
        <v>84.578512396694762</v>
      </c>
      <c r="E1051" s="8">
        <v>87.4</v>
      </c>
      <c r="F1051" s="10">
        <f>AVERAGE($E$733:E1051)</f>
        <v>84.222570532915412</v>
      </c>
      <c r="I1051" s="11">
        <v>2904</v>
      </c>
      <c r="J1051" s="11">
        <v>-1900</v>
      </c>
      <c r="K1051" s="11">
        <v>-1317</v>
      </c>
      <c r="L1051" s="11">
        <f t="shared" si="20"/>
        <v>-3217</v>
      </c>
      <c r="M1051" s="11">
        <f t="shared" si="21"/>
        <v>-313</v>
      </c>
    </row>
    <row r="1052" spans="1:13">
      <c r="A1052" s="7">
        <v>44881</v>
      </c>
      <c r="B1052" s="8">
        <v>84.47933884297575</v>
      </c>
      <c r="E1052" s="8">
        <v>87</v>
      </c>
      <c r="F1052" s="10">
        <f>AVERAGE($E$733:E1052)</f>
        <v>84.231250000000045</v>
      </c>
      <c r="I1052" s="11">
        <v>2730</v>
      </c>
      <c r="J1052" s="11">
        <v>-1900</v>
      </c>
      <c r="K1052" s="11">
        <v>-1316</v>
      </c>
      <c r="L1052" s="11">
        <f t="shared" si="20"/>
        <v>-3216</v>
      </c>
      <c r="M1052" s="11">
        <f t="shared" si="21"/>
        <v>-486</v>
      </c>
    </row>
    <row r="1053" spans="1:13">
      <c r="A1053" s="7">
        <v>44882</v>
      </c>
      <c r="B1053" s="8">
        <v>84.380165289256738</v>
      </c>
      <c r="E1053" s="8">
        <v>86.5</v>
      </c>
      <c r="F1053" s="10">
        <f>AVERAGE($E$733:E1053)</f>
        <v>84.238317757009398</v>
      </c>
      <c r="I1053" s="11">
        <v>2208</v>
      </c>
      <c r="J1053" s="11">
        <v>-1900</v>
      </c>
      <c r="K1053" s="11">
        <v>-1315</v>
      </c>
      <c r="L1053" s="11">
        <f t="shared" si="20"/>
        <v>-3215</v>
      </c>
      <c r="M1053" s="11">
        <f t="shared" si="21"/>
        <v>-1007</v>
      </c>
    </row>
    <row r="1054" spans="1:13">
      <c r="A1054" s="7">
        <v>44883</v>
      </c>
      <c r="B1054" s="8">
        <v>84.280991735537725</v>
      </c>
      <c r="E1054" s="8">
        <v>85.7</v>
      </c>
      <c r="F1054" s="10">
        <f>AVERAGE($E$733:E1054)</f>
        <v>84.24285714285719</v>
      </c>
      <c r="I1054" s="11">
        <v>2299</v>
      </c>
      <c r="J1054" s="11">
        <v>-1900</v>
      </c>
      <c r="K1054" s="11">
        <v>-1314</v>
      </c>
      <c r="L1054" s="11">
        <f t="shared" ref="L1054:L1117" si="22">SUM(J1054:K1054)</f>
        <v>-3214</v>
      </c>
      <c r="M1054" s="11">
        <f t="shared" ref="M1054:M1117" si="23">I1054+J1054+K1054</f>
        <v>-915</v>
      </c>
    </row>
    <row r="1055" spans="1:13">
      <c r="A1055" s="7">
        <v>44884</v>
      </c>
      <c r="B1055" s="8">
        <v>84.181818181818713</v>
      </c>
      <c r="E1055" s="8">
        <v>85.6</v>
      </c>
      <c r="F1055" s="10">
        <f>AVERAGE($E$733:E1055)</f>
        <v>84.247058823529457</v>
      </c>
      <c r="I1055" s="11">
        <v>5000</v>
      </c>
      <c r="J1055" s="11">
        <v>-1900</v>
      </c>
      <c r="K1055" s="11">
        <v>-1313</v>
      </c>
      <c r="L1055" s="11">
        <f t="shared" si="22"/>
        <v>-3213</v>
      </c>
      <c r="M1055" s="11">
        <f t="shared" si="23"/>
        <v>1787</v>
      </c>
    </row>
    <row r="1056" spans="1:13">
      <c r="A1056" s="7">
        <v>44885</v>
      </c>
      <c r="B1056" s="8">
        <v>84.0826446280997</v>
      </c>
      <c r="E1056" s="8">
        <v>86.8</v>
      </c>
      <c r="F1056" s="10">
        <f>AVERAGE($E$733:E1056)</f>
        <v>84.254938271604985</v>
      </c>
      <c r="I1056" s="11">
        <v>3000</v>
      </c>
      <c r="J1056" s="11">
        <v>-1900</v>
      </c>
      <c r="K1056" s="11">
        <v>-950</v>
      </c>
      <c r="L1056" s="11">
        <f t="shared" si="22"/>
        <v>-2850</v>
      </c>
      <c r="M1056" s="11">
        <f t="shared" si="23"/>
        <v>150</v>
      </c>
    </row>
    <row r="1057" spans="1:13">
      <c r="A1057" s="7">
        <v>44886</v>
      </c>
      <c r="B1057" s="8">
        <v>83.983471074380688</v>
      </c>
      <c r="E1057" s="8">
        <v>87.3</v>
      </c>
      <c r="F1057" s="10">
        <f>AVERAGE($E$733:E1057)</f>
        <v>84.264307692307725</v>
      </c>
      <c r="I1057" s="11">
        <v>1944</v>
      </c>
      <c r="J1057" s="11">
        <v>-1900</v>
      </c>
      <c r="K1057" s="11">
        <v>-1236</v>
      </c>
      <c r="L1057" s="11">
        <f t="shared" si="22"/>
        <v>-3136</v>
      </c>
      <c r="M1057" s="11">
        <f t="shared" si="23"/>
        <v>-1192</v>
      </c>
    </row>
    <row r="1058" spans="1:13">
      <c r="A1058" s="7">
        <v>44887</v>
      </c>
      <c r="B1058" s="8">
        <v>83.884297520661676</v>
      </c>
      <c r="E1058" s="8">
        <v>85.2</v>
      </c>
      <c r="F1058" s="10">
        <f>AVERAGE($E$733:E1058)</f>
        <v>84.267177914110476</v>
      </c>
      <c r="I1058" s="11">
        <v>1624</v>
      </c>
      <c r="J1058" s="11">
        <v>-1900</v>
      </c>
      <c r="K1058" s="11">
        <v>-1676</v>
      </c>
      <c r="L1058" s="11">
        <f t="shared" si="22"/>
        <v>-3576</v>
      </c>
      <c r="M1058" s="11">
        <f t="shared" si="23"/>
        <v>-1952</v>
      </c>
    </row>
    <row r="1059" spans="1:13">
      <c r="A1059" s="7">
        <v>44888</v>
      </c>
      <c r="B1059" s="8">
        <v>83.785123966942663</v>
      </c>
      <c r="E1059" s="8">
        <v>85.5</v>
      </c>
      <c r="F1059" s="10">
        <f>AVERAGE($E$733:E1059)</f>
        <v>84.270948012232452</v>
      </c>
      <c r="I1059" s="11">
        <v>1552</v>
      </c>
      <c r="J1059" s="11">
        <v>-1900</v>
      </c>
      <c r="K1059" s="11">
        <v>-886</v>
      </c>
      <c r="L1059" s="11">
        <f t="shared" si="22"/>
        <v>-2786</v>
      </c>
      <c r="M1059" s="11">
        <f t="shared" si="23"/>
        <v>-1234</v>
      </c>
    </row>
    <row r="1060" spans="1:13">
      <c r="A1060" s="7">
        <v>44889</v>
      </c>
      <c r="B1060" s="8">
        <v>83.685950413223651</v>
      </c>
      <c r="E1060" s="8">
        <v>85.9</v>
      </c>
      <c r="F1060" s="10">
        <f>AVERAGE($E$733:E1060)</f>
        <v>84.275914634146389</v>
      </c>
      <c r="I1060" s="11">
        <v>2289</v>
      </c>
      <c r="J1060" s="11">
        <v>-1900</v>
      </c>
      <c r="K1060" s="11">
        <v>-1054</v>
      </c>
      <c r="L1060" s="11">
        <f t="shared" si="22"/>
        <v>-2954</v>
      </c>
      <c r="M1060" s="11">
        <f t="shared" si="23"/>
        <v>-665</v>
      </c>
    </row>
    <row r="1061" spans="1:13">
      <c r="A1061" s="7">
        <v>44890</v>
      </c>
      <c r="B1061" s="8">
        <v>83.586776859504639</v>
      </c>
      <c r="E1061" s="8">
        <v>85.7</v>
      </c>
      <c r="F1061" s="10">
        <f>AVERAGE($E$733:E1061)</f>
        <v>84.280243161094276</v>
      </c>
      <c r="I1061" s="11">
        <v>2250</v>
      </c>
      <c r="J1061" s="11">
        <v>-1900</v>
      </c>
      <c r="K1061" s="11">
        <v>-1383</v>
      </c>
      <c r="L1061" s="11">
        <f t="shared" si="22"/>
        <v>-3283</v>
      </c>
      <c r="M1061" s="11">
        <f t="shared" si="23"/>
        <v>-1033</v>
      </c>
    </row>
    <row r="1062" spans="1:13">
      <c r="A1062" s="7">
        <v>44891</v>
      </c>
      <c r="B1062" s="8">
        <v>83.487603305785626</v>
      </c>
      <c r="E1062" s="8">
        <v>85.2</v>
      </c>
      <c r="F1062" s="10">
        <f>AVERAGE($E$733:E1062)</f>
        <v>84.283030303030358</v>
      </c>
      <c r="I1062" s="11">
        <v>2323</v>
      </c>
      <c r="J1062" s="11">
        <v>-1900</v>
      </c>
      <c r="K1062" s="11">
        <v>-1476</v>
      </c>
      <c r="L1062" s="11">
        <f t="shared" si="22"/>
        <v>-3376</v>
      </c>
      <c r="M1062" s="11">
        <f t="shared" si="23"/>
        <v>-1053</v>
      </c>
    </row>
    <row r="1063" spans="1:13">
      <c r="A1063" s="7">
        <v>44892</v>
      </c>
      <c r="B1063" s="8">
        <v>83.388429752066614</v>
      </c>
      <c r="E1063" s="8">
        <v>85.7</v>
      </c>
      <c r="F1063" s="10">
        <f>AVERAGE($E$733:E1063)</f>
        <v>84.287311178247791</v>
      </c>
      <c r="I1063" s="11">
        <v>2422</v>
      </c>
      <c r="J1063" s="11">
        <v>-1900</v>
      </c>
      <c r="K1063" s="11">
        <v>-1344</v>
      </c>
      <c r="L1063" s="11">
        <f t="shared" si="22"/>
        <v>-3244</v>
      </c>
      <c r="M1063" s="11">
        <f t="shared" si="23"/>
        <v>-822</v>
      </c>
    </row>
    <row r="1064" spans="1:13">
      <c r="A1064" s="7">
        <v>44893</v>
      </c>
      <c r="B1064" s="8">
        <v>83.289256198347601</v>
      </c>
      <c r="E1064" s="8">
        <v>84.8</v>
      </c>
      <c r="F1064" s="10">
        <f>AVERAGE($E$733:E1064)</f>
        <v>84.28885542168679</v>
      </c>
      <c r="I1064" s="11">
        <v>1936</v>
      </c>
      <c r="J1064" s="11">
        <v>-1900</v>
      </c>
      <c r="K1064" s="11">
        <v>-1280</v>
      </c>
      <c r="L1064" s="11">
        <f t="shared" si="22"/>
        <v>-3180</v>
      </c>
      <c r="M1064" s="11">
        <f t="shared" si="23"/>
        <v>-1244</v>
      </c>
    </row>
    <row r="1065" spans="1:13">
      <c r="A1065" s="7">
        <v>44894</v>
      </c>
      <c r="B1065" s="8">
        <v>83.190082644628589</v>
      </c>
      <c r="E1065" s="8">
        <v>84</v>
      </c>
      <c r="F1065" s="10">
        <f>AVERAGE($E$733:E1065)</f>
        <v>84.287987987988032</v>
      </c>
      <c r="I1065" s="11">
        <v>2206</v>
      </c>
      <c r="J1065" s="11">
        <v>-1900</v>
      </c>
      <c r="K1065" s="11">
        <v>-1341</v>
      </c>
      <c r="L1065" s="11">
        <f t="shared" si="22"/>
        <v>-3241</v>
      </c>
      <c r="M1065" s="11">
        <f t="shared" si="23"/>
        <v>-1035</v>
      </c>
    </row>
    <row r="1066" spans="1:13">
      <c r="A1066" s="7">
        <v>44895</v>
      </c>
      <c r="B1066" s="8">
        <v>83.090909090909577</v>
      </c>
      <c r="E1066" s="8">
        <v>84.8</v>
      </c>
      <c r="F1066" s="10">
        <f>AVERAGE($E$733:E1066)</f>
        <v>84.289520958083884</v>
      </c>
      <c r="I1066" s="11">
        <v>2140</v>
      </c>
      <c r="J1066" s="11">
        <v>-1900</v>
      </c>
      <c r="K1066" s="11">
        <v>-735</v>
      </c>
      <c r="L1066" s="11">
        <f t="shared" si="22"/>
        <v>-2635</v>
      </c>
      <c r="M1066" s="11">
        <f t="shared" si="23"/>
        <v>-495</v>
      </c>
    </row>
    <row r="1067" spans="1:13">
      <c r="A1067" s="7">
        <v>44896</v>
      </c>
      <c r="B1067" s="8">
        <v>82.991735537190564</v>
      </c>
      <c r="E1067" s="8">
        <v>84.6</v>
      </c>
      <c r="F1067" s="10">
        <f>AVERAGE($E$733:E1067)</f>
        <v>84.290447761194073</v>
      </c>
      <c r="I1067" s="11">
        <v>2056</v>
      </c>
      <c r="J1067" s="11">
        <v>-1900</v>
      </c>
      <c r="K1067" s="11">
        <v>-605</v>
      </c>
      <c r="L1067" s="11">
        <f t="shared" si="22"/>
        <v>-2505</v>
      </c>
      <c r="M1067" s="11">
        <f t="shared" si="23"/>
        <v>-449</v>
      </c>
    </row>
    <row r="1068" spans="1:13">
      <c r="A1068" s="7">
        <v>44897</v>
      </c>
      <c r="B1068" s="8">
        <v>82.892561983471552</v>
      </c>
      <c r="E1068" s="8">
        <v>84.7</v>
      </c>
      <c r="F1068" s="10">
        <f>AVERAGE($E$733:E1068)</f>
        <v>84.291666666666714</v>
      </c>
      <c r="I1068" s="11">
        <v>1931</v>
      </c>
      <c r="J1068" s="11">
        <v>-1900</v>
      </c>
      <c r="K1068" s="11">
        <v>-1172</v>
      </c>
      <c r="L1068" s="11">
        <f t="shared" si="22"/>
        <v>-3072</v>
      </c>
      <c r="M1068" s="11">
        <f t="shared" si="23"/>
        <v>-1141</v>
      </c>
    </row>
    <row r="1069" spans="1:13">
      <c r="A1069" s="7">
        <v>44898</v>
      </c>
      <c r="B1069" s="8">
        <v>82.79338842975254</v>
      </c>
      <c r="E1069" s="8">
        <v>84.2</v>
      </c>
      <c r="F1069" s="10">
        <f>AVERAGE($E$733:E1069)</f>
        <v>84.291394658753759</v>
      </c>
      <c r="I1069" s="11">
        <v>2310</v>
      </c>
      <c r="J1069" s="11">
        <v>-1900</v>
      </c>
      <c r="K1069" s="11">
        <v>-1281</v>
      </c>
      <c r="L1069" s="11">
        <f t="shared" si="22"/>
        <v>-3181</v>
      </c>
      <c r="M1069" s="11">
        <f t="shared" si="23"/>
        <v>-871</v>
      </c>
    </row>
    <row r="1070" spans="1:13">
      <c r="A1070" s="7">
        <v>44899</v>
      </c>
      <c r="B1070" s="8">
        <v>82.694214876033527</v>
      </c>
      <c r="E1070" s="8">
        <v>84.7</v>
      </c>
      <c r="F1070" s="10">
        <f>AVERAGE($E$733:E1070)</f>
        <v>84.292603550295908</v>
      </c>
      <c r="I1070" s="11">
        <v>2759</v>
      </c>
      <c r="J1070" s="11">
        <v>-1900</v>
      </c>
      <c r="K1070" s="11">
        <v>-1850</v>
      </c>
      <c r="L1070" s="11">
        <f t="shared" si="22"/>
        <v>-3750</v>
      </c>
      <c r="M1070" s="11">
        <f t="shared" si="23"/>
        <v>-991</v>
      </c>
    </row>
    <row r="1071" spans="1:13">
      <c r="A1071" s="7">
        <v>44900</v>
      </c>
      <c r="B1071" s="8">
        <v>82.595041322314515</v>
      </c>
      <c r="E1071" s="8">
        <v>84.7</v>
      </c>
      <c r="F1071" s="10">
        <f>AVERAGE($E$733:E1071)</f>
        <v>84.293805309734566</v>
      </c>
      <c r="I1071" s="11">
        <v>1893</v>
      </c>
      <c r="J1071" s="11">
        <v>-1900</v>
      </c>
      <c r="K1071" s="11">
        <v>-1468</v>
      </c>
      <c r="L1071" s="11">
        <f t="shared" si="22"/>
        <v>-3368</v>
      </c>
      <c r="M1071" s="11">
        <f t="shared" si="23"/>
        <v>-1475</v>
      </c>
    </row>
    <row r="1072" spans="1:13">
      <c r="A1072" s="7">
        <v>44901</v>
      </c>
      <c r="B1072" s="8">
        <v>82.495867768595502</v>
      </c>
      <c r="E1072" s="8">
        <v>83.7</v>
      </c>
      <c r="F1072" s="10">
        <f>AVERAGE($E$733:E1072)</f>
        <v>84.292058823529459</v>
      </c>
      <c r="I1072" s="11">
        <v>1990</v>
      </c>
      <c r="J1072" s="11">
        <v>-1900</v>
      </c>
      <c r="K1072" s="11">
        <v>-891</v>
      </c>
      <c r="L1072" s="11">
        <f t="shared" si="22"/>
        <v>-2791</v>
      </c>
      <c r="M1072" s="11">
        <f t="shared" si="23"/>
        <v>-801</v>
      </c>
    </row>
    <row r="1073" spans="1:26">
      <c r="A1073" s="7">
        <v>44902</v>
      </c>
      <c r="B1073" s="8">
        <v>82.39669421487649</v>
      </c>
      <c r="E1073" s="8">
        <v>83.5</v>
      </c>
      <c r="F1073" s="10">
        <f>AVERAGE($E$733:E1073)</f>
        <v>84.289736070381281</v>
      </c>
      <c r="I1073" s="11">
        <v>2645</v>
      </c>
      <c r="J1073" s="11">
        <v>-1900</v>
      </c>
      <c r="K1073" s="11">
        <v>-683</v>
      </c>
      <c r="L1073" s="11">
        <f t="shared" si="22"/>
        <v>-2583</v>
      </c>
      <c r="M1073" s="11">
        <f t="shared" si="23"/>
        <v>62</v>
      </c>
    </row>
    <row r="1074" spans="1:26">
      <c r="A1074" s="7">
        <v>44903</v>
      </c>
      <c r="B1074" s="8">
        <v>82.297520661157478</v>
      </c>
      <c r="E1074" s="8">
        <v>85.1</v>
      </c>
      <c r="F1074" s="10">
        <f>AVERAGE($E$733:E1074)</f>
        <v>84.292105263157936</v>
      </c>
      <c r="I1074" s="11">
        <v>2179</v>
      </c>
      <c r="J1074" s="11">
        <v>-1900</v>
      </c>
      <c r="K1074" s="11">
        <v>-613</v>
      </c>
      <c r="L1074" s="11">
        <f t="shared" si="22"/>
        <v>-2513</v>
      </c>
      <c r="M1074" s="11">
        <f t="shared" si="23"/>
        <v>-334</v>
      </c>
    </row>
    <row r="1075" spans="1:26">
      <c r="A1075" s="7">
        <v>44904</v>
      </c>
      <c r="B1075" s="8">
        <v>82.198347107438465</v>
      </c>
      <c r="E1075" s="8">
        <v>83.6</v>
      </c>
      <c r="F1075" s="10">
        <f>AVERAGE($E$733:E1075)</f>
        <v>84.290087463556887</v>
      </c>
      <c r="I1075" s="11">
        <v>2379</v>
      </c>
      <c r="J1075" s="11">
        <v>-1900</v>
      </c>
      <c r="K1075" s="11">
        <v>-928</v>
      </c>
      <c r="L1075" s="11">
        <f t="shared" si="22"/>
        <v>-2828</v>
      </c>
      <c r="M1075" s="11">
        <f t="shared" si="23"/>
        <v>-449</v>
      </c>
    </row>
    <row r="1076" spans="1:26">
      <c r="A1076" s="7">
        <v>44905</v>
      </c>
      <c r="B1076" s="8">
        <v>82.099173553719453</v>
      </c>
      <c r="E1076" s="8">
        <v>84.3</v>
      </c>
      <c r="F1076" s="10">
        <f>AVERAGE($E$733:E1076)</f>
        <v>84.290116279069807</v>
      </c>
      <c r="I1076" s="11">
        <v>2909</v>
      </c>
      <c r="J1076" s="11">
        <v>-1900</v>
      </c>
      <c r="K1076" s="11">
        <v>-927</v>
      </c>
      <c r="L1076" s="11">
        <f t="shared" si="22"/>
        <v>-2827</v>
      </c>
      <c r="M1076" s="11">
        <f t="shared" si="23"/>
        <v>82</v>
      </c>
    </row>
    <row r="1077" spans="1:26">
      <c r="A1077" s="7">
        <v>44906</v>
      </c>
      <c r="B1077" s="8">
        <v>82.000000000000441</v>
      </c>
      <c r="E1077" s="8">
        <v>83.1</v>
      </c>
      <c r="F1077" s="10">
        <f>AVERAGE($E$733:E1077)</f>
        <v>84.286666666666704</v>
      </c>
      <c r="I1077" s="11">
        <v>2116</v>
      </c>
      <c r="J1077" s="11">
        <v>-1900</v>
      </c>
      <c r="K1077" s="11">
        <v>-294</v>
      </c>
      <c r="L1077" s="11">
        <f t="shared" si="22"/>
        <v>-2194</v>
      </c>
      <c r="M1077" s="11">
        <f t="shared" si="23"/>
        <v>-78</v>
      </c>
    </row>
    <row r="1078" spans="1:26">
      <c r="A1078" s="7">
        <v>44907</v>
      </c>
      <c r="B1078" s="8">
        <v>81.900826446281428</v>
      </c>
      <c r="E1078" s="8">
        <v>84</v>
      </c>
      <c r="F1078" s="10">
        <f>AVERAGE($E$733:E1078)</f>
        <v>84.285838150289052</v>
      </c>
      <c r="I1078" s="11">
        <v>2277</v>
      </c>
      <c r="J1078" s="11">
        <v>-1900</v>
      </c>
      <c r="K1078" s="11">
        <v>-1252</v>
      </c>
      <c r="L1078" s="11">
        <f t="shared" si="22"/>
        <v>-3152</v>
      </c>
      <c r="M1078" s="11">
        <f t="shared" si="23"/>
        <v>-875</v>
      </c>
    </row>
    <row r="1079" spans="1:26">
      <c r="A1079" s="7">
        <v>44908</v>
      </c>
      <c r="B1079" s="8">
        <v>81.801652892562416</v>
      </c>
      <c r="E1079" s="8">
        <v>83.4</v>
      </c>
      <c r="F1079" s="10">
        <f>AVERAGE($E$733:E1079)</f>
        <v>84.283285302593697</v>
      </c>
      <c r="I1079" s="11">
        <v>2069</v>
      </c>
      <c r="J1079" s="11">
        <v>-1900</v>
      </c>
      <c r="K1079" s="11">
        <v>-851</v>
      </c>
      <c r="L1079" s="11">
        <f t="shared" si="22"/>
        <v>-2751</v>
      </c>
      <c r="M1079" s="11">
        <f t="shared" si="23"/>
        <v>-682</v>
      </c>
    </row>
    <row r="1080" spans="1:26">
      <c r="A1080" s="7">
        <v>44909</v>
      </c>
      <c r="B1080" s="8">
        <v>81.702479338843403</v>
      </c>
      <c r="E1080" s="8">
        <v>83.4</v>
      </c>
      <c r="F1080" s="10">
        <f>AVERAGE($E$733:E1080)</f>
        <v>84.280747126436822</v>
      </c>
      <c r="I1080" s="11">
        <v>1759</v>
      </c>
      <c r="J1080" s="11">
        <v>-1900</v>
      </c>
      <c r="K1080" s="11">
        <v>-654</v>
      </c>
      <c r="L1080" s="11">
        <f t="shared" si="22"/>
        <v>-2554</v>
      </c>
      <c r="M1080" s="11">
        <f t="shared" si="23"/>
        <v>-795</v>
      </c>
    </row>
    <row r="1081" spans="1:26">
      <c r="A1081" s="7">
        <v>44910</v>
      </c>
      <c r="B1081" s="8">
        <v>81.603305785124391</v>
      </c>
      <c r="E1081" s="8">
        <v>82.8</v>
      </c>
      <c r="F1081" s="10">
        <f>AVERAGE($E$733:E1081)</f>
        <v>84.276504297994308</v>
      </c>
      <c r="I1081" s="11">
        <v>2159</v>
      </c>
      <c r="J1081" s="11">
        <v>-1900</v>
      </c>
      <c r="K1081" s="11">
        <v>-744</v>
      </c>
      <c r="L1081" s="11">
        <f t="shared" si="22"/>
        <v>-2644</v>
      </c>
      <c r="M1081" s="11">
        <f t="shared" si="23"/>
        <v>-485</v>
      </c>
    </row>
    <row r="1082" spans="1:26">
      <c r="A1082" s="7">
        <v>44911</v>
      </c>
      <c r="B1082" s="8">
        <v>81.504132231405379</v>
      </c>
      <c r="E1082" s="8">
        <v>83.2</v>
      </c>
      <c r="F1082" s="10">
        <f>AVERAGE($E$733:E1082)</f>
        <v>84.27342857142861</v>
      </c>
      <c r="I1082" s="11">
        <v>1982</v>
      </c>
      <c r="J1082" s="11">
        <v>-1900</v>
      </c>
      <c r="K1082" s="11">
        <v>-1030</v>
      </c>
      <c r="L1082" s="11">
        <f t="shared" si="22"/>
        <v>-2930</v>
      </c>
      <c r="M1082" s="11">
        <f t="shared" si="23"/>
        <v>-948</v>
      </c>
    </row>
    <row r="1083" spans="1:26">
      <c r="A1083" s="7">
        <v>44912</v>
      </c>
      <c r="B1083" s="8">
        <v>81.404958677686366</v>
      </c>
      <c r="E1083" s="8">
        <v>83.1</v>
      </c>
      <c r="F1083" s="10">
        <f>AVERAGE($E$733:E1083)</f>
        <v>84.270085470085505</v>
      </c>
      <c r="I1083" s="11">
        <v>2233</v>
      </c>
      <c r="J1083" s="11">
        <v>-1900</v>
      </c>
      <c r="K1083" s="11">
        <v>-1665</v>
      </c>
      <c r="L1083" s="11">
        <f t="shared" si="22"/>
        <v>-3565</v>
      </c>
      <c r="M1083" s="11">
        <f t="shared" si="23"/>
        <v>-1332</v>
      </c>
      <c r="Y1083" s="7">
        <f ca="1">TODAY()</f>
        <v>46029</v>
      </c>
    </row>
    <row r="1084" spans="1:26">
      <c r="A1084" s="7">
        <v>44913</v>
      </c>
      <c r="B1084" s="8">
        <v>81.305785123967354</v>
      </c>
      <c r="E1084" s="8">
        <v>82.9</v>
      </c>
      <c r="F1084" s="10">
        <f>AVERAGE($E$733:E1084)</f>
        <v>84.266193181818224</v>
      </c>
      <c r="I1084" s="11">
        <v>2644</v>
      </c>
      <c r="J1084" s="11">
        <v>-1900</v>
      </c>
      <c r="K1084" s="11">
        <v>-1605</v>
      </c>
      <c r="L1084" s="11">
        <f t="shared" si="22"/>
        <v>-3505</v>
      </c>
      <c r="M1084" s="11">
        <f t="shared" si="23"/>
        <v>-861</v>
      </c>
      <c r="Y1084" s="7">
        <v>44860</v>
      </c>
    </row>
    <row r="1085" spans="1:26">
      <c r="A1085" s="7">
        <v>44914</v>
      </c>
      <c r="B1085" s="8">
        <v>81.206611570248342</v>
      </c>
      <c r="E1085" s="8">
        <v>83.5</v>
      </c>
      <c r="F1085" s="10">
        <f>AVERAGE($E$733:E1085)</f>
        <v>84.264022662889559</v>
      </c>
      <c r="I1085" s="11">
        <v>2306</v>
      </c>
      <c r="J1085" s="11">
        <v>-1900</v>
      </c>
      <c r="K1085" s="11">
        <v>-1557</v>
      </c>
      <c r="L1085" s="11">
        <f t="shared" si="22"/>
        <v>-3457</v>
      </c>
      <c r="M1085" s="11">
        <f t="shared" si="23"/>
        <v>-1151</v>
      </c>
      <c r="Y1085">
        <f ca="1">Y1084-Y1083</f>
        <v>-1169</v>
      </c>
      <c r="Z1085">
        <f ca="1">Y1085/7</f>
        <v>-167</v>
      </c>
    </row>
    <row r="1086" spans="1:26">
      <c r="A1086" s="7">
        <v>44915</v>
      </c>
      <c r="B1086" s="8">
        <v>81.107438016529329</v>
      </c>
      <c r="E1086" s="8">
        <v>82.4</v>
      </c>
      <c r="F1086" s="10">
        <f>AVERAGE($E$733:E1086)</f>
        <v>84.258757062146941</v>
      </c>
      <c r="I1086" s="11">
        <v>1927</v>
      </c>
      <c r="J1086" s="11">
        <v>-1900</v>
      </c>
      <c r="K1086" s="11">
        <v>-1016</v>
      </c>
      <c r="L1086" s="11">
        <f t="shared" si="22"/>
        <v>-2916</v>
      </c>
      <c r="M1086" s="11">
        <f t="shared" si="23"/>
        <v>-989</v>
      </c>
    </row>
    <row r="1087" spans="1:26">
      <c r="A1087" s="7">
        <v>44916</v>
      </c>
      <c r="B1087" s="8">
        <v>81.008264462810317</v>
      </c>
      <c r="E1087" s="8">
        <v>82.6</v>
      </c>
      <c r="F1087" s="10">
        <f>AVERAGE($E$733:E1087)</f>
        <v>84.254084507042293</v>
      </c>
      <c r="I1087" s="11">
        <v>2287</v>
      </c>
      <c r="J1087" s="11">
        <v>-1900</v>
      </c>
      <c r="K1087" s="11">
        <v>-622</v>
      </c>
      <c r="L1087" s="11">
        <f t="shared" si="22"/>
        <v>-2522</v>
      </c>
      <c r="M1087" s="11">
        <f t="shared" si="23"/>
        <v>-235</v>
      </c>
      <c r="Z1087">
        <f>8*2</f>
        <v>16</v>
      </c>
    </row>
    <row r="1088" spans="1:26">
      <c r="A1088" s="7">
        <v>44917</v>
      </c>
      <c r="B1088" s="8">
        <v>80.909090909091304</v>
      </c>
      <c r="E1088" s="8">
        <v>83.4</v>
      </c>
      <c r="F1088" s="10">
        <f>AVERAGE($E$733:E1088)</f>
        <v>84.25168539325847</v>
      </c>
      <c r="I1088" s="11">
        <v>2553</v>
      </c>
      <c r="J1088" s="11">
        <v>-1900</v>
      </c>
      <c r="K1088" s="11">
        <v>-1593</v>
      </c>
      <c r="L1088" s="11">
        <f t="shared" si="22"/>
        <v>-3493</v>
      </c>
      <c r="M1088" s="11">
        <f t="shared" si="23"/>
        <v>-940</v>
      </c>
      <c r="Z1088">
        <f>17</f>
        <v>17</v>
      </c>
    </row>
    <row r="1089" spans="1:26">
      <c r="A1089" s="7">
        <v>44918</v>
      </c>
      <c r="B1089" s="8">
        <v>80.809917355372292</v>
      </c>
      <c r="E1089" s="8">
        <v>82.3</v>
      </c>
      <c r="F1089" s="10">
        <f>AVERAGE($E$733:E1089)</f>
        <v>84.246218487394998</v>
      </c>
      <c r="I1089" s="11">
        <v>2238</v>
      </c>
      <c r="J1089" s="11">
        <v>-1900</v>
      </c>
      <c r="K1089" s="11">
        <v>-1090</v>
      </c>
      <c r="L1089" s="11">
        <f t="shared" si="22"/>
        <v>-2990</v>
      </c>
      <c r="M1089" s="11">
        <f t="shared" si="23"/>
        <v>-752</v>
      </c>
      <c r="Z1089">
        <f>Z1088*7</f>
        <v>119</v>
      </c>
    </row>
    <row r="1090" spans="1:26">
      <c r="A1090" s="7">
        <v>44919</v>
      </c>
      <c r="B1090" s="8">
        <v>80.71074380165328</v>
      </c>
      <c r="E1090" s="8">
        <v>82.1</v>
      </c>
      <c r="F1090" s="10">
        <f>AVERAGE($E$733:E1090)</f>
        <v>84.240223463687187</v>
      </c>
      <c r="I1090" s="11">
        <v>4552</v>
      </c>
      <c r="J1090" s="11">
        <v>-1900</v>
      </c>
      <c r="K1090" s="11">
        <v>-767</v>
      </c>
      <c r="L1090" s="11">
        <f t="shared" si="22"/>
        <v>-2667</v>
      </c>
      <c r="M1090" s="11">
        <f t="shared" si="23"/>
        <v>1885</v>
      </c>
      <c r="Z1090" s="7">
        <f ca="1">Y1083+Z1089</f>
        <v>46148</v>
      </c>
    </row>
    <row r="1091" spans="1:26">
      <c r="A1091" s="7">
        <v>44920</v>
      </c>
      <c r="B1091" s="8">
        <v>80.611570247934267</v>
      </c>
      <c r="E1091" s="8">
        <v>83.4</v>
      </c>
      <c r="F1091" s="10">
        <f>AVERAGE($E$733:E1091)</f>
        <v>84.23788300835659</v>
      </c>
      <c r="I1091" s="11">
        <v>2223</v>
      </c>
      <c r="J1091" s="11">
        <v>-1900</v>
      </c>
      <c r="K1091" s="11">
        <v>-962</v>
      </c>
      <c r="L1091" s="11">
        <f t="shared" si="22"/>
        <v>-2862</v>
      </c>
      <c r="M1091" s="11">
        <f t="shared" si="23"/>
        <v>-639</v>
      </c>
    </row>
    <row r="1092" spans="1:26">
      <c r="A1092" s="7">
        <v>44921</v>
      </c>
      <c r="B1092" s="8">
        <v>80.512396694215255</v>
      </c>
      <c r="E1092" s="8">
        <v>83.5</v>
      </c>
      <c r="F1092" s="10">
        <f>AVERAGE($E$733:E1092)</f>
        <v>84.235833333333375</v>
      </c>
      <c r="I1092" s="11">
        <v>3922</v>
      </c>
      <c r="J1092" s="11">
        <v>-1900</v>
      </c>
      <c r="K1092" s="11">
        <v>-533</v>
      </c>
      <c r="L1092" s="11">
        <f t="shared" si="22"/>
        <v>-2433</v>
      </c>
      <c r="M1092" s="11">
        <f t="shared" si="23"/>
        <v>1489</v>
      </c>
    </row>
    <row r="1093" spans="1:26">
      <c r="A1093" s="7">
        <v>44922</v>
      </c>
      <c r="B1093" s="8">
        <v>80.413223140496243</v>
      </c>
      <c r="E1093" s="8">
        <v>84.6</v>
      </c>
      <c r="F1093" s="10">
        <f>AVERAGE($E$733:E1093)</f>
        <v>84.236842105263193</v>
      </c>
      <c r="I1093" s="11">
        <v>2704</v>
      </c>
      <c r="J1093" s="11">
        <v>-1900</v>
      </c>
      <c r="K1093" s="11">
        <v>-2045</v>
      </c>
      <c r="L1093" s="11">
        <f t="shared" si="22"/>
        <v>-3945</v>
      </c>
      <c r="M1093" s="11">
        <f t="shared" si="23"/>
        <v>-1241</v>
      </c>
    </row>
    <row r="1094" spans="1:26">
      <c r="A1094" s="7">
        <v>44923</v>
      </c>
      <c r="B1094" s="8">
        <v>80.31404958677723</v>
      </c>
      <c r="E1094" s="8">
        <v>83.1</v>
      </c>
      <c r="F1094" s="10">
        <f>AVERAGE($E$733:E1094)</f>
        <v>84.233701657458596</v>
      </c>
      <c r="I1094" s="11">
        <v>1895</v>
      </c>
      <c r="J1094" s="11">
        <v>-1900</v>
      </c>
      <c r="K1094" s="11">
        <v>-910</v>
      </c>
      <c r="L1094" s="11">
        <f t="shared" si="22"/>
        <v>-2810</v>
      </c>
      <c r="M1094" s="11">
        <f t="shared" si="23"/>
        <v>-915</v>
      </c>
    </row>
    <row r="1095" spans="1:26">
      <c r="A1095" s="7">
        <v>44924</v>
      </c>
      <c r="B1095" s="8">
        <v>80.214876033058218</v>
      </c>
      <c r="E1095" s="8">
        <v>83</v>
      </c>
      <c r="F1095" s="10">
        <f>AVERAGE($E$733:E1095)</f>
        <v>84.230303030303062</v>
      </c>
      <c r="I1095" s="11">
        <v>2410</v>
      </c>
      <c r="J1095" s="11">
        <v>-1900</v>
      </c>
      <c r="K1095" s="11">
        <v>-601</v>
      </c>
      <c r="L1095" s="11">
        <f t="shared" si="22"/>
        <v>-2501</v>
      </c>
      <c r="M1095" s="11">
        <f t="shared" si="23"/>
        <v>-91</v>
      </c>
    </row>
    <row r="1096" spans="1:26">
      <c r="A1096" s="7">
        <v>44925</v>
      </c>
      <c r="B1096" s="8">
        <v>80.115702479339205</v>
      </c>
      <c r="E1096" s="8">
        <v>84</v>
      </c>
      <c r="F1096" s="10">
        <f>AVERAGE($E$733:E1096)</f>
        <v>84.22967032967037</v>
      </c>
      <c r="I1096" s="11">
        <v>3767</v>
      </c>
      <c r="J1096" s="11">
        <v>-1900</v>
      </c>
      <c r="K1096" s="11">
        <v>-1322</v>
      </c>
      <c r="L1096" s="11">
        <f t="shared" si="22"/>
        <v>-3222</v>
      </c>
      <c r="M1096" s="11">
        <f t="shared" si="23"/>
        <v>545</v>
      </c>
    </row>
    <row r="1097" spans="1:26" ht="15" thickBot="1">
      <c r="A1097" s="14">
        <v>44926</v>
      </c>
      <c r="B1097" s="27">
        <v>80.016528925620193</v>
      </c>
      <c r="C1097" s="15"/>
      <c r="D1097" s="28"/>
      <c r="E1097" s="27">
        <v>85</v>
      </c>
      <c r="F1097" s="28">
        <f>AVERAGE($E$733:E1097)</f>
        <v>84.231780821917837</v>
      </c>
      <c r="G1097" s="15"/>
      <c r="H1097" s="28"/>
      <c r="I1097" s="18">
        <v>3818</v>
      </c>
      <c r="J1097" s="18">
        <v>-1900</v>
      </c>
      <c r="K1097" s="18">
        <v>-842</v>
      </c>
      <c r="L1097" s="18">
        <f t="shared" si="22"/>
        <v>-2742</v>
      </c>
      <c r="M1097" s="18">
        <f t="shared" si="23"/>
        <v>1076</v>
      </c>
      <c r="N1097" s="18"/>
      <c r="O1097" s="19"/>
      <c r="P1097" s="19"/>
      <c r="Q1097" s="19"/>
    </row>
    <row r="1098" spans="1:26">
      <c r="A1098" s="7">
        <v>44927</v>
      </c>
      <c r="B1098" s="8">
        <v>82</v>
      </c>
      <c r="E1098" s="8">
        <v>85.9</v>
      </c>
      <c r="F1098" s="10">
        <f>AVERAGE($E$1098:E1098)</f>
        <v>85.9</v>
      </c>
      <c r="I1098" s="11">
        <v>2693</v>
      </c>
      <c r="J1098" s="11">
        <v>-1900</v>
      </c>
      <c r="K1098" s="11">
        <v>-600</v>
      </c>
      <c r="L1098" s="11">
        <f t="shared" si="22"/>
        <v>-2500</v>
      </c>
      <c r="M1098" s="11">
        <f t="shared" si="23"/>
        <v>193</v>
      </c>
    </row>
    <row r="1099" spans="1:26">
      <c r="A1099" s="7">
        <v>44928</v>
      </c>
      <c r="B1099" s="8">
        <v>81.921348314606746</v>
      </c>
      <c r="E1099" s="8">
        <v>84.3</v>
      </c>
      <c r="F1099" s="10">
        <f>AVERAGE($E$1098:E1099)</f>
        <v>85.1</v>
      </c>
      <c r="I1099" s="11">
        <v>2020</v>
      </c>
      <c r="J1099" s="11">
        <v>-1900</v>
      </c>
      <c r="K1099" s="11">
        <v>-1375</v>
      </c>
      <c r="L1099" s="11">
        <f t="shared" si="22"/>
        <v>-3275</v>
      </c>
      <c r="M1099" s="11">
        <f t="shared" si="23"/>
        <v>-1255</v>
      </c>
    </row>
    <row r="1100" spans="1:26">
      <c r="A1100" s="7">
        <v>44929</v>
      </c>
      <c r="B1100" s="8">
        <v>81.842696629213492</v>
      </c>
      <c r="E1100" s="8">
        <v>82.9</v>
      </c>
      <c r="F1100" s="10">
        <f>AVERAGE($E$1098:E1100)</f>
        <v>84.36666666666666</v>
      </c>
      <c r="I1100" s="11">
        <v>1866</v>
      </c>
      <c r="J1100" s="11">
        <v>-1900</v>
      </c>
      <c r="K1100" s="11">
        <v>-1048</v>
      </c>
      <c r="L1100" s="11">
        <f t="shared" si="22"/>
        <v>-2948</v>
      </c>
      <c r="M1100" s="11">
        <f t="shared" si="23"/>
        <v>-1082</v>
      </c>
    </row>
    <row r="1101" spans="1:26">
      <c r="A1101" s="7">
        <v>44930</v>
      </c>
      <c r="B1101" s="8">
        <v>81.764044943820238</v>
      </c>
      <c r="E1101" s="8">
        <v>82.9</v>
      </c>
      <c r="F1101" s="10">
        <f>AVERAGE($E$1098:E1101)</f>
        <v>84</v>
      </c>
      <c r="I1101" s="11">
        <v>2252</v>
      </c>
      <c r="J1101" s="11">
        <v>-1900</v>
      </c>
      <c r="K1101" s="11">
        <v>-936</v>
      </c>
      <c r="L1101" s="11">
        <f t="shared" si="22"/>
        <v>-2836</v>
      </c>
      <c r="M1101" s="11">
        <f t="shared" si="23"/>
        <v>-584</v>
      </c>
    </row>
    <row r="1102" spans="1:26">
      <c r="A1102" s="7">
        <v>44931</v>
      </c>
      <c r="B1102" s="8">
        <v>81.685393258426984</v>
      </c>
      <c r="E1102" s="8">
        <v>83.9</v>
      </c>
      <c r="F1102" s="10">
        <f>AVERAGE($E$1098:E1102)</f>
        <v>83.97999999999999</v>
      </c>
      <c r="I1102" s="11">
        <v>2859</v>
      </c>
      <c r="J1102" s="11">
        <v>-1900</v>
      </c>
      <c r="K1102" s="11">
        <v>-675</v>
      </c>
      <c r="L1102" s="11">
        <f t="shared" si="22"/>
        <v>-2575</v>
      </c>
      <c r="M1102" s="11">
        <f t="shared" si="23"/>
        <v>284</v>
      </c>
    </row>
    <row r="1103" spans="1:26">
      <c r="A1103" s="7">
        <v>44932</v>
      </c>
      <c r="B1103" s="8">
        <v>81.60674157303373</v>
      </c>
      <c r="E1103" s="8">
        <v>84.2</v>
      </c>
      <c r="F1103" s="10">
        <f>AVERAGE($E$1098:E1103)</f>
        <v>84.016666666666666</v>
      </c>
      <c r="I1103" s="11">
        <v>2196</v>
      </c>
      <c r="J1103" s="11">
        <v>-1900</v>
      </c>
      <c r="K1103" s="11">
        <v>-875</v>
      </c>
      <c r="L1103" s="11">
        <f t="shared" si="22"/>
        <v>-2775</v>
      </c>
      <c r="M1103" s="11">
        <f t="shared" si="23"/>
        <v>-579</v>
      </c>
    </row>
    <row r="1104" spans="1:26">
      <c r="A1104" s="7">
        <v>44933</v>
      </c>
      <c r="B1104" s="8">
        <v>81.528089887640476</v>
      </c>
      <c r="E1104" s="8">
        <v>84</v>
      </c>
      <c r="F1104" s="10">
        <f>AVERAGE($E$1098:E1104)</f>
        <v>84.014285714285705</v>
      </c>
      <c r="I1104" s="11">
        <v>3132</v>
      </c>
      <c r="J1104" s="11">
        <v>-1900</v>
      </c>
      <c r="K1104" s="11">
        <v>-1394</v>
      </c>
      <c r="L1104" s="11">
        <f t="shared" si="22"/>
        <v>-3294</v>
      </c>
      <c r="M1104" s="11">
        <f t="shared" si="23"/>
        <v>-162</v>
      </c>
    </row>
    <row r="1105" spans="1:13">
      <c r="A1105" s="7">
        <v>44934</v>
      </c>
      <c r="B1105" s="8">
        <v>81.449438202247222</v>
      </c>
      <c r="E1105" s="8">
        <v>84.8</v>
      </c>
      <c r="F1105" s="10">
        <f>AVERAGE($E$1098:E1105)</f>
        <v>84.112499999999983</v>
      </c>
      <c r="I1105" s="11">
        <v>1787</v>
      </c>
      <c r="J1105" s="11">
        <v>-1900</v>
      </c>
      <c r="K1105" s="11">
        <v>-1346</v>
      </c>
      <c r="L1105" s="11">
        <f t="shared" si="22"/>
        <v>-3246</v>
      </c>
      <c r="M1105" s="11">
        <f t="shared" si="23"/>
        <v>-1459</v>
      </c>
    </row>
    <row r="1106" spans="1:13">
      <c r="A1106" s="7">
        <v>44935</v>
      </c>
      <c r="B1106" s="8">
        <v>81.370786516853968</v>
      </c>
      <c r="E1106" s="8">
        <v>83.8</v>
      </c>
      <c r="F1106" s="10">
        <f>AVERAGE($E$1098:E1106)</f>
        <v>84.077777777777754</v>
      </c>
      <c r="I1106" s="11">
        <v>2073</v>
      </c>
      <c r="J1106" s="11">
        <v>-1900</v>
      </c>
      <c r="K1106" s="11">
        <v>-1263</v>
      </c>
      <c r="L1106" s="11">
        <f t="shared" si="22"/>
        <v>-3163</v>
      </c>
      <c r="M1106" s="11">
        <f t="shared" si="23"/>
        <v>-1090</v>
      </c>
    </row>
    <row r="1107" spans="1:13">
      <c r="A1107" s="7">
        <v>44936</v>
      </c>
      <c r="B1107" s="8">
        <v>81.292134831460714</v>
      </c>
      <c r="E1107" s="8">
        <v>83.2</v>
      </c>
      <c r="F1107" s="10">
        <f>AVERAGE($E$1098:E1107)</f>
        <v>83.989999999999981</v>
      </c>
      <c r="I1107" s="11">
        <v>2139</v>
      </c>
      <c r="J1107" s="11">
        <v>-1900</v>
      </c>
      <c r="K1107" s="11">
        <v>-716</v>
      </c>
      <c r="L1107" s="11">
        <f t="shared" si="22"/>
        <v>-2616</v>
      </c>
      <c r="M1107" s="11">
        <f t="shared" si="23"/>
        <v>-477</v>
      </c>
    </row>
    <row r="1108" spans="1:13">
      <c r="A1108" s="7">
        <v>44937</v>
      </c>
      <c r="B1108" s="8">
        <v>81.21348314606746</v>
      </c>
      <c r="E1108" s="8">
        <v>82.9</v>
      </c>
      <c r="F1108" s="10">
        <f>AVERAGE($E$1098:E1108)</f>
        <v>83.890909090909076</v>
      </c>
      <c r="I1108" s="11">
        <v>2501</v>
      </c>
      <c r="J1108" s="11">
        <v>-1900</v>
      </c>
      <c r="K1108" s="11">
        <v>-1189</v>
      </c>
      <c r="L1108" s="11">
        <f t="shared" si="22"/>
        <v>-3089</v>
      </c>
      <c r="M1108" s="11">
        <f t="shared" si="23"/>
        <v>-588</v>
      </c>
    </row>
    <row r="1109" spans="1:13">
      <c r="A1109" s="7">
        <v>44938</v>
      </c>
      <c r="B1109" s="8">
        <v>81.134831460674206</v>
      </c>
      <c r="E1109" s="8">
        <v>82.6</v>
      </c>
      <c r="F1109" s="10">
        <f>AVERAGE($E$1098:E1109)</f>
        <v>83.783333333333317</v>
      </c>
      <c r="I1109" s="11">
        <v>2320</v>
      </c>
      <c r="J1109" s="11">
        <v>-1900</v>
      </c>
      <c r="K1109" s="11">
        <v>-1015</v>
      </c>
      <c r="L1109" s="11">
        <f t="shared" si="22"/>
        <v>-2915</v>
      </c>
      <c r="M1109" s="11">
        <f t="shared" si="23"/>
        <v>-595</v>
      </c>
    </row>
    <row r="1110" spans="1:13">
      <c r="A1110" s="7">
        <v>44939</v>
      </c>
      <c r="B1110" s="8">
        <v>81.056179775280953</v>
      </c>
      <c r="E1110" s="8">
        <v>83.1</v>
      </c>
      <c r="F1110" s="10">
        <f>AVERAGE($E$1098:E1110)</f>
        <v>83.730769230769212</v>
      </c>
      <c r="I1110" s="11">
        <v>2235</v>
      </c>
      <c r="J1110" s="11">
        <v>-1900</v>
      </c>
      <c r="K1110" s="11">
        <v>-967</v>
      </c>
      <c r="L1110" s="11">
        <f t="shared" si="22"/>
        <v>-2867</v>
      </c>
      <c r="M1110" s="11">
        <f t="shared" si="23"/>
        <v>-632</v>
      </c>
    </row>
    <row r="1111" spans="1:13">
      <c r="A1111" s="7">
        <v>44940</v>
      </c>
      <c r="B1111" s="8">
        <v>80.977528089887699</v>
      </c>
      <c r="E1111" s="8">
        <v>82.8</v>
      </c>
      <c r="F1111" s="10">
        <f>AVERAGE($E$1098:E1111)</f>
        <v>83.664285714285697</v>
      </c>
      <c r="I1111" s="11">
        <v>2346</v>
      </c>
      <c r="J1111" s="11">
        <v>-1900</v>
      </c>
      <c r="K1111" s="11">
        <v>-1740</v>
      </c>
      <c r="L1111" s="11">
        <f t="shared" si="22"/>
        <v>-3640</v>
      </c>
      <c r="M1111" s="11">
        <f t="shared" si="23"/>
        <v>-1294</v>
      </c>
    </row>
    <row r="1112" spans="1:13">
      <c r="A1112" s="7">
        <v>44941</v>
      </c>
      <c r="B1112" s="8">
        <v>80.898876404494445</v>
      </c>
      <c r="E1112" s="8">
        <v>82.1</v>
      </c>
      <c r="F1112" s="10">
        <f>AVERAGE($E$1098:E1112)</f>
        <v>83.559999999999974</v>
      </c>
      <c r="I1112" s="11">
        <v>2810</v>
      </c>
      <c r="J1112" s="11">
        <v>-1900</v>
      </c>
      <c r="K1112" s="11">
        <v>-1029</v>
      </c>
      <c r="L1112" s="11">
        <f t="shared" si="22"/>
        <v>-2929</v>
      </c>
      <c r="M1112" s="11">
        <f t="shared" si="23"/>
        <v>-119</v>
      </c>
    </row>
    <row r="1113" spans="1:13">
      <c r="A1113" s="7">
        <v>44942</v>
      </c>
      <c r="B1113" s="8">
        <v>80.820224719101191</v>
      </c>
      <c r="E1113" s="8">
        <v>82.8</v>
      </c>
      <c r="F1113" s="10">
        <f>AVERAGE($E$1098:E1113)</f>
        <v>83.512499999999974</v>
      </c>
      <c r="I1113" s="11">
        <v>2239</v>
      </c>
      <c r="J1113" s="11">
        <v>-1900</v>
      </c>
      <c r="K1113" s="11">
        <v>-894</v>
      </c>
      <c r="L1113" s="11">
        <f t="shared" si="22"/>
        <v>-2794</v>
      </c>
      <c r="M1113" s="11">
        <f t="shared" si="23"/>
        <v>-555</v>
      </c>
    </row>
    <row r="1114" spans="1:13">
      <c r="A1114" s="7">
        <v>44943</v>
      </c>
      <c r="B1114" s="8">
        <v>80.741573033707937</v>
      </c>
      <c r="E1114" s="8">
        <v>82.8</v>
      </c>
      <c r="F1114" s="10">
        <f>AVERAGE($E$1098:E1114)</f>
        <v>83.470588235294088</v>
      </c>
      <c r="I1114" s="11">
        <v>2669</v>
      </c>
      <c r="J1114" s="11">
        <v>-1900</v>
      </c>
      <c r="K1114" s="11">
        <v>-1031</v>
      </c>
      <c r="L1114" s="11">
        <f t="shared" si="22"/>
        <v>-2931</v>
      </c>
      <c r="M1114" s="11">
        <f t="shared" si="23"/>
        <v>-262</v>
      </c>
    </row>
    <row r="1115" spans="1:13">
      <c r="A1115" s="7">
        <v>44944</v>
      </c>
      <c r="B1115" s="8">
        <v>80.662921348314683</v>
      </c>
      <c r="E1115" s="8">
        <v>82.7</v>
      </c>
      <c r="F1115" s="10">
        <f>AVERAGE($E$1098:E1115)</f>
        <v>83.427777777777749</v>
      </c>
      <c r="I1115" s="11">
        <v>2484</v>
      </c>
      <c r="J1115" s="11">
        <v>-1900</v>
      </c>
      <c r="K1115" s="11">
        <v>-1100</v>
      </c>
      <c r="L1115" s="11">
        <f t="shared" si="22"/>
        <v>-3000</v>
      </c>
      <c r="M1115" s="11">
        <f t="shared" si="23"/>
        <v>-516</v>
      </c>
    </row>
    <row r="1116" spans="1:13">
      <c r="A1116" s="7">
        <v>44945</v>
      </c>
      <c r="B1116" s="8">
        <v>80.584269662921429</v>
      </c>
      <c r="E1116" s="8">
        <v>82.1</v>
      </c>
      <c r="F1116" s="10">
        <f>AVERAGE($E$1098:E1116)</f>
        <v>83.357894736842084</v>
      </c>
      <c r="I1116" s="11">
        <v>1787</v>
      </c>
      <c r="J1116" s="11">
        <v>-1900</v>
      </c>
      <c r="K1116" s="11">
        <v>-538</v>
      </c>
      <c r="L1116" s="11">
        <f t="shared" si="22"/>
        <v>-2438</v>
      </c>
      <c r="M1116" s="11">
        <f t="shared" si="23"/>
        <v>-651</v>
      </c>
    </row>
    <row r="1117" spans="1:13">
      <c r="A1117" s="7">
        <v>44946</v>
      </c>
      <c r="B1117" s="8">
        <v>80.505617977528175</v>
      </c>
      <c r="E1117" s="8">
        <v>82.4</v>
      </c>
      <c r="F1117" s="10">
        <f>AVERAGE($E$1098:E1117)</f>
        <v>83.309999999999974</v>
      </c>
      <c r="I1117" s="11">
        <v>2409</v>
      </c>
      <c r="J1117" s="11">
        <v>-1900</v>
      </c>
      <c r="K1117" s="11">
        <v>-1087</v>
      </c>
      <c r="L1117" s="11">
        <f t="shared" si="22"/>
        <v>-2987</v>
      </c>
      <c r="M1117" s="11">
        <f t="shared" si="23"/>
        <v>-578</v>
      </c>
    </row>
    <row r="1118" spans="1:13">
      <c r="A1118" s="7">
        <v>44947</v>
      </c>
      <c r="B1118" s="8">
        <v>80.426966292134921</v>
      </c>
      <c r="E1118" s="8">
        <v>83.6</v>
      </c>
      <c r="F1118" s="10">
        <f>AVERAGE($E$1098:E1118)</f>
        <v>83.323809523809501</v>
      </c>
      <c r="I1118" s="11">
        <v>2950</v>
      </c>
      <c r="J1118" s="11">
        <v>-1900</v>
      </c>
      <c r="K1118" s="11">
        <v>-613</v>
      </c>
      <c r="L1118" s="11">
        <f t="shared" ref="L1118:L1181" si="24">SUM(J1118:K1118)</f>
        <v>-2513</v>
      </c>
      <c r="M1118" s="11">
        <f t="shared" ref="M1118:M1181" si="25">I1118+J1118+K1118</f>
        <v>437</v>
      </c>
    </row>
    <row r="1119" spans="1:13">
      <c r="A1119" s="7">
        <v>44948</v>
      </c>
      <c r="B1119" s="8">
        <v>80.348314606741667</v>
      </c>
      <c r="E1119" s="8">
        <v>84.7</v>
      </c>
      <c r="F1119" s="10">
        <f>AVERAGE($E$1098:E1119)</f>
        <v>83.386363636363612</v>
      </c>
      <c r="I1119" s="11">
        <v>2331</v>
      </c>
      <c r="J1119" s="11">
        <v>-1900</v>
      </c>
      <c r="K1119" s="11">
        <v>-1510</v>
      </c>
      <c r="L1119" s="11">
        <f t="shared" si="24"/>
        <v>-3410</v>
      </c>
      <c r="M1119" s="11">
        <f t="shared" si="25"/>
        <v>-1079</v>
      </c>
    </row>
    <row r="1120" spans="1:13">
      <c r="A1120" s="7">
        <v>44949</v>
      </c>
      <c r="B1120" s="8">
        <v>80.269662921348413</v>
      </c>
      <c r="E1120" s="8">
        <v>84.5</v>
      </c>
      <c r="F1120" s="10">
        <f>AVERAGE($E$1098:E1120)</f>
        <v>83.434782608695627</v>
      </c>
      <c r="I1120" s="11">
        <v>1778</v>
      </c>
      <c r="J1120" s="11">
        <v>-1900</v>
      </c>
      <c r="K1120" s="11">
        <v>-1147</v>
      </c>
      <c r="L1120" s="11">
        <f t="shared" si="24"/>
        <v>-3047</v>
      </c>
      <c r="M1120" s="11">
        <f t="shared" si="25"/>
        <v>-1269</v>
      </c>
    </row>
    <row r="1121" spans="1:19">
      <c r="A1121" s="7">
        <v>44950</v>
      </c>
      <c r="B1121" s="8">
        <v>80.191011235955159</v>
      </c>
      <c r="E1121" s="8">
        <v>83.2</v>
      </c>
      <c r="F1121" s="10">
        <f>AVERAGE($E$1098:E1121)</f>
        <v>83.424999999999983</v>
      </c>
      <c r="I1121" s="11">
        <v>2101</v>
      </c>
      <c r="J1121" s="11">
        <v>-1900</v>
      </c>
      <c r="K1121" s="11">
        <v>-1042</v>
      </c>
      <c r="L1121" s="11">
        <f t="shared" si="24"/>
        <v>-2942</v>
      </c>
      <c r="M1121" s="11">
        <f t="shared" si="25"/>
        <v>-841</v>
      </c>
    </row>
    <row r="1122" spans="1:19">
      <c r="A1122" s="7">
        <v>44951</v>
      </c>
      <c r="B1122" s="8">
        <v>80.112359550561905</v>
      </c>
      <c r="E1122" s="8">
        <v>83.8</v>
      </c>
      <c r="F1122" s="10">
        <f>AVERAGE($E$1098:E1122)</f>
        <v>83.439999999999984</v>
      </c>
      <c r="I1122" s="11">
        <v>3000</v>
      </c>
      <c r="J1122" s="11">
        <v>-1900</v>
      </c>
      <c r="K1122" s="11">
        <v>-723</v>
      </c>
      <c r="L1122" s="11">
        <f t="shared" si="24"/>
        <v>-2623</v>
      </c>
      <c r="M1122" s="11">
        <f t="shared" si="25"/>
        <v>377</v>
      </c>
    </row>
    <row r="1123" spans="1:19">
      <c r="A1123" s="7">
        <v>44952</v>
      </c>
      <c r="B1123" s="8">
        <v>80.033707865168651</v>
      </c>
      <c r="E1123" s="8">
        <v>84.2</v>
      </c>
      <c r="F1123" s="10">
        <f>AVERAGE($E$1098:E1123)</f>
        <v>83.469230769230748</v>
      </c>
      <c r="I1123" s="11">
        <v>3000</v>
      </c>
      <c r="J1123" s="11">
        <v>-1900</v>
      </c>
      <c r="K1123" s="11">
        <v>-669</v>
      </c>
      <c r="L1123" s="11">
        <f t="shared" si="24"/>
        <v>-2569</v>
      </c>
      <c r="M1123" s="11">
        <f t="shared" si="25"/>
        <v>431</v>
      </c>
    </row>
    <row r="1124" spans="1:19">
      <c r="A1124" s="7">
        <v>44953</v>
      </c>
      <c r="B1124" s="8">
        <v>79.955056179775397</v>
      </c>
      <c r="E1124" s="8">
        <v>84.7</v>
      </c>
      <c r="F1124" s="10">
        <f>AVERAGE($E$1098:E1124)</f>
        <v>83.514814814814784</v>
      </c>
      <c r="I1124" s="11">
        <v>1992</v>
      </c>
      <c r="J1124" s="11">
        <v>-1900</v>
      </c>
      <c r="K1124" s="11">
        <v>-648</v>
      </c>
      <c r="L1124" s="11">
        <f t="shared" si="24"/>
        <v>-2548</v>
      </c>
      <c r="M1124" s="11">
        <f t="shared" si="25"/>
        <v>-556</v>
      </c>
    </row>
    <row r="1125" spans="1:19">
      <c r="A1125" s="7">
        <v>44954</v>
      </c>
      <c r="B1125" s="8">
        <v>79.876404494382143</v>
      </c>
      <c r="E1125" s="8">
        <v>83.4</v>
      </c>
      <c r="F1125" s="10">
        <f>AVERAGE($E$1098:E1125)</f>
        <v>83.510714285714258</v>
      </c>
      <c r="I1125" s="11">
        <v>2870</v>
      </c>
      <c r="J1125" s="11">
        <v>-1900</v>
      </c>
      <c r="K1125" s="11">
        <v>-611</v>
      </c>
      <c r="L1125" s="11">
        <f t="shared" si="24"/>
        <v>-2511</v>
      </c>
      <c r="M1125" s="11">
        <f t="shared" si="25"/>
        <v>359</v>
      </c>
    </row>
    <row r="1126" spans="1:19">
      <c r="A1126" s="7">
        <v>44955</v>
      </c>
      <c r="B1126" s="8">
        <v>79.797752808988889</v>
      </c>
      <c r="E1126" s="8">
        <v>83.6</v>
      </c>
      <c r="F1126" s="10">
        <f>AVERAGE($E$1098:E1126)</f>
        <v>83.513793103448251</v>
      </c>
      <c r="I1126" s="11">
        <v>2342</v>
      </c>
      <c r="J1126" s="11">
        <v>-1900</v>
      </c>
      <c r="K1126" s="11">
        <v>-1495</v>
      </c>
      <c r="L1126" s="11">
        <f t="shared" si="24"/>
        <v>-3395</v>
      </c>
      <c r="M1126" s="11">
        <f t="shared" si="25"/>
        <v>-1053</v>
      </c>
    </row>
    <row r="1127" spans="1:19">
      <c r="A1127" s="7">
        <v>44956</v>
      </c>
      <c r="B1127" s="8">
        <v>79.719101123595635</v>
      </c>
      <c r="E1127" s="8">
        <v>83.7</v>
      </c>
      <c r="F1127" s="10">
        <f>AVERAGE($E$1098:E1127)</f>
        <v>83.519999999999968</v>
      </c>
      <c r="I1127" s="11">
        <v>2092</v>
      </c>
      <c r="J1127" s="11">
        <v>-1900</v>
      </c>
      <c r="K1127" s="11">
        <v>-1181</v>
      </c>
      <c r="L1127" s="11">
        <f t="shared" si="24"/>
        <v>-3081</v>
      </c>
      <c r="M1127" s="11">
        <f t="shared" si="25"/>
        <v>-989</v>
      </c>
    </row>
    <row r="1128" spans="1:19">
      <c r="A1128" s="7">
        <v>44957</v>
      </c>
      <c r="B1128" s="8">
        <v>79.640449438202381</v>
      </c>
      <c r="E1128" s="8">
        <v>82.5</v>
      </c>
      <c r="F1128" s="10">
        <f>AVERAGE($E$1098:E1128)</f>
        <v>83.487096774193517</v>
      </c>
      <c r="I1128" s="11">
        <v>1600</v>
      </c>
      <c r="J1128" s="11">
        <v>-1900</v>
      </c>
      <c r="K1128" s="11">
        <v>-922</v>
      </c>
      <c r="L1128" s="11">
        <f t="shared" si="24"/>
        <v>-2822</v>
      </c>
      <c r="M1128" s="11">
        <f t="shared" si="25"/>
        <v>-1222</v>
      </c>
      <c r="S1128">
        <f>4*30.25</f>
        <v>121</v>
      </c>
    </row>
    <row r="1129" spans="1:19">
      <c r="A1129" s="7">
        <v>44958</v>
      </c>
      <c r="B1129" s="8">
        <v>82.973782771535724</v>
      </c>
      <c r="E1129" s="8">
        <v>83.4</v>
      </c>
      <c r="F1129" s="10">
        <f>AVERAGE($E$1098:E1129)</f>
        <v>83.484374999999972</v>
      </c>
      <c r="I1129" s="11">
        <v>2081</v>
      </c>
      <c r="J1129" s="11">
        <v>-1900</v>
      </c>
      <c r="K1129" s="11">
        <v>-534</v>
      </c>
      <c r="L1129" s="11">
        <f t="shared" si="24"/>
        <v>-2434</v>
      </c>
      <c r="M1129" s="11">
        <f t="shared" si="25"/>
        <v>-353</v>
      </c>
    </row>
    <row r="1130" spans="1:19">
      <c r="A1130" s="7">
        <v>44959</v>
      </c>
      <c r="B1130" s="8">
        <v>82.907116104869061</v>
      </c>
      <c r="E1130" s="8">
        <v>83.1</v>
      </c>
      <c r="F1130" s="10">
        <f>AVERAGE($E$1098:E1130)</f>
        <v>83.472727272727241</v>
      </c>
      <c r="I1130" s="11">
        <v>2734</v>
      </c>
      <c r="J1130" s="11">
        <v>-1900</v>
      </c>
      <c r="K1130" s="11">
        <v>-1075</v>
      </c>
      <c r="L1130" s="11">
        <f t="shared" si="24"/>
        <v>-2975</v>
      </c>
      <c r="M1130" s="11">
        <f t="shared" si="25"/>
        <v>-241</v>
      </c>
    </row>
    <row r="1131" spans="1:19">
      <c r="A1131" s="7">
        <v>44960</v>
      </c>
      <c r="B1131" s="8">
        <v>82.840449438202398</v>
      </c>
      <c r="E1131" s="8">
        <v>83.4</v>
      </c>
      <c r="F1131" s="10">
        <f>AVERAGE($E$1098:E1131)</f>
        <v>83.470588235294088</v>
      </c>
      <c r="I1131" s="11">
        <v>2117</v>
      </c>
      <c r="J1131" s="11">
        <v>-1900</v>
      </c>
      <c r="K1131" s="11">
        <v>-456</v>
      </c>
      <c r="L1131" s="11">
        <f t="shared" si="24"/>
        <v>-2356</v>
      </c>
      <c r="M1131" s="11">
        <f t="shared" si="25"/>
        <v>-239</v>
      </c>
    </row>
    <row r="1132" spans="1:19">
      <c r="A1132" s="7">
        <v>44961</v>
      </c>
      <c r="B1132" s="8">
        <v>82.773782771535735</v>
      </c>
      <c r="E1132" s="8">
        <v>84</v>
      </c>
      <c r="F1132" s="10">
        <f>AVERAGE($E$1098:E1132)</f>
        <v>83.485714285714266</v>
      </c>
      <c r="I1132" s="11">
        <v>3955</v>
      </c>
      <c r="J1132" s="11">
        <v>-1900</v>
      </c>
      <c r="K1132" s="11">
        <v>-745</v>
      </c>
      <c r="L1132" s="11">
        <f t="shared" si="24"/>
        <v>-2645</v>
      </c>
      <c r="M1132" s="11">
        <f t="shared" si="25"/>
        <v>1310</v>
      </c>
    </row>
    <row r="1133" spans="1:19">
      <c r="A1133" s="7">
        <v>44962</v>
      </c>
      <c r="B1133" s="8">
        <v>82.707116104869073</v>
      </c>
      <c r="E1133" s="8">
        <v>84.5</v>
      </c>
      <c r="F1133" s="10">
        <f>AVERAGE($E$1098:E1133)</f>
        <v>83.513888888888857</v>
      </c>
      <c r="I1133" s="11">
        <v>2806</v>
      </c>
      <c r="J1133" s="11">
        <v>-1900</v>
      </c>
      <c r="K1133" s="11">
        <v>-678</v>
      </c>
      <c r="L1133" s="11">
        <f t="shared" si="24"/>
        <v>-2578</v>
      </c>
      <c r="M1133" s="11">
        <f t="shared" si="25"/>
        <v>228</v>
      </c>
    </row>
    <row r="1134" spans="1:19">
      <c r="A1134" s="7">
        <v>44963</v>
      </c>
      <c r="B1134" s="8">
        <v>82.64044943820241</v>
      </c>
      <c r="E1134" s="8">
        <v>85</v>
      </c>
      <c r="F1134" s="10">
        <f>AVERAGE($E$1098:E1134)</f>
        <v>83.554054054054035</v>
      </c>
      <c r="I1134" s="11">
        <v>2809</v>
      </c>
      <c r="J1134" s="11">
        <v>-1900</v>
      </c>
      <c r="K1134" s="11">
        <v>-1192</v>
      </c>
      <c r="L1134" s="11">
        <f t="shared" si="24"/>
        <v>-3092</v>
      </c>
      <c r="M1134" s="11">
        <f t="shared" si="25"/>
        <v>-283</v>
      </c>
    </row>
    <row r="1135" spans="1:19">
      <c r="A1135" s="7">
        <v>44964</v>
      </c>
      <c r="B1135" s="8">
        <v>82.573782771535747</v>
      </c>
      <c r="E1135" s="8">
        <v>83.6</v>
      </c>
      <c r="F1135" s="10">
        <f>AVERAGE($E$1098:E1135)</f>
        <v>83.555263157894714</v>
      </c>
      <c r="I1135" s="11">
        <v>2160</v>
      </c>
      <c r="J1135" s="11">
        <v>-1900</v>
      </c>
      <c r="K1135" s="11">
        <v>-637</v>
      </c>
      <c r="L1135" s="11">
        <f t="shared" si="24"/>
        <v>-2537</v>
      </c>
      <c r="M1135" s="11">
        <f t="shared" si="25"/>
        <v>-377</v>
      </c>
    </row>
    <row r="1136" spans="1:19">
      <c r="A1136" s="7">
        <v>44965</v>
      </c>
      <c r="B1136" s="8">
        <v>82.507116104869084</v>
      </c>
      <c r="E1136" s="8">
        <v>83.8</v>
      </c>
      <c r="F1136" s="10">
        <f>AVERAGE($E$1098:E1136)</f>
        <v>83.561538461538447</v>
      </c>
      <c r="I1136" s="11">
        <v>2189</v>
      </c>
      <c r="J1136" s="11">
        <v>-1900</v>
      </c>
      <c r="K1136" s="11">
        <v>-921</v>
      </c>
      <c r="L1136" s="11">
        <f t="shared" si="24"/>
        <v>-2821</v>
      </c>
      <c r="M1136" s="11">
        <f t="shared" si="25"/>
        <v>-632</v>
      </c>
    </row>
    <row r="1137" spans="1:13">
      <c r="A1137" s="7">
        <v>44966</v>
      </c>
      <c r="B1137" s="8">
        <v>82.440449438202421</v>
      </c>
      <c r="E1137" s="8">
        <v>84</v>
      </c>
      <c r="F1137" s="10">
        <f>AVERAGE($E$1098:E1137)</f>
        <v>83.572499999999977</v>
      </c>
      <c r="I1137" s="11">
        <v>2617</v>
      </c>
      <c r="J1137" s="11">
        <v>-1900</v>
      </c>
      <c r="K1137" s="11">
        <v>-2021</v>
      </c>
      <c r="L1137" s="11">
        <f t="shared" si="24"/>
        <v>-3921</v>
      </c>
      <c r="M1137" s="11">
        <f t="shared" si="25"/>
        <v>-1304</v>
      </c>
    </row>
    <row r="1138" spans="1:13">
      <c r="A1138" s="7">
        <v>44967</v>
      </c>
      <c r="B1138" s="8">
        <v>82.373782771535758</v>
      </c>
      <c r="E1138" s="8">
        <v>82.7</v>
      </c>
      <c r="F1138" s="10">
        <f>AVERAGE($E$1098:E1138)</f>
        <v>83.551219512195104</v>
      </c>
      <c r="I1138" s="11">
        <v>2498</v>
      </c>
      <c r="J1138" s="11">
        <v>-1900</v>
      </c>
      <c r="K1138" s="11">
        <v>-524</v>
      </c>
      <c r="L1138" s="11">
        <f t="shared" si="24"/>
        <v>-2424</v>
      </c>
      <c r="M1138" s="11">
        <f t="shared" si="25"/>
        <v>74</v>
      </c>
    </row>
    <row r="1139" spans="1:13">
      <c r="A1139" s="7">
        <v>44968</v>
      </c>
      <c r="B1139" s="8">
        <v>82.307116104869095</v>
      </c>
      <c r="E1139" s="8">
        <v>83.2</v>
      </c>
      <c r="F1139" s="10">
        <f>AVERAGE($E$1098:E1139)</f>
        <v>83.542857142857116</v>
      </c>
      <c r="I1139" s="11">
        <v>3535</v>
      </c>
      <c r="J1139" s="11">
        <v>-1900</v>
      </c>
      <c r="K1139" s="11">
        <v>-1072</v>
      </c>
      <c r="L1139" s="11">
        <f t="shared" si="24"/>
        <v>-2972</v>
      </c>
      <c r="M1139" s="11">
        <f t="shared" si="25"/>
        <v>563</v>
      </c>
    </row>
    <row r="1140" spans="1:13">
      <c r="A1140" s="7">
        <v>44969</v>
      </c>
      <c r="B1140" s="8">
        <v>82.240449438202432</v>
      </c>
      <c r="E1140" s="8">
        <v>84.7</v>
      </c>
      <c r="F1140" s="10">
        <f>AVERAGE($E$1098:E1140)</f>
        <v>83.569767441860435</v>
      </c>
      <c r="I1140" s="11">
        <v>2383</v>
      </c>
      <c r="J1140" s="11">
        <v>-1900</v>
      </c>
      <c r="K1140" s="11">
        <v>-689</v>
      </c>
      <c r="L1140" s="11">
        <f t="shared" si="24"/>
        <v>-2589</v>
      </c>
      <c r="M1140" s="11">
        <f t="shared" si="25"/>
        <v>-206</v>
      </c>
    </row>
    <row r="1141" spans="1:13">
      <c r="A1141" s="7">
        <v>44970</v>
      </c>
      <c r="B1141" s="8">
        <v>82.17378277153577</v>
      </c>
      <c r="E1141" s="8">
        <v>83.7</v>
      </c>
      <c r="F1141" s="10">
        <f>AVERAGE($E$1098:E1141)</f>
        <v>83.572727272727235</v>
      </c>
      <c r="I1141" s="11">
        <v>2046</v>
      </c>
      <c r="J1141" s="11">
        <v>-1900</v>
      </c>
      <c r="K1141" s="11">
        <v>-1271</v>
      </c>
      <c r="L1141" s="11">
        <f t="shared" si="24"/>
        <v>-3171</v>
      </c>
      <c r="M1141" s="11">
        <f t="shared" si="25"/>
        <v>-1125</v>
      </c>
    </row>
    <row r="1142" spans="1:13">
      <c r="A1142" s="7">
        <v>44971</v>
      </c>
      <c r="B1142" s="8">
        <v>82.107116104869107</v>
      </c>
      <c r="E1142" s="8">
        <v>82.6</v>
      </c>
      <c r="F1142" s="10">
        <f>AVERAGE($E$1098:E1142)</f>
        <v>83.551111111111069</v>
      </c>
      <c r="I1142" s="11">
        <v>2692</v>
      </c>
      <c r="J1142" s="11">
        <v>-1900</v>
      </c>
      <c r="K1142" s="11">
        <v>-1993</v>
      </c>
      <c r="L1142" s="11">
        <f t="shared" si="24"/>
        <v>-3893</v>
      </c>
      <c r="M1142" s="11">
        <f t="shared" si="25"/>
        <v>-1201</v>
      </c>
    </row>
    <row r="1143" spans="1:13">
      <c r="A1143" s="7">
        <v>44972</v>
      </c>
      <c r="B1143" s="8">
        <v>82.040449438202444</v>
      </c>
      <c r="E1143" s="8">
        <v>82.4</v>
      </c>
      <c r="F1143" s="10">
        <f>AVERAGE($E$1098:E1143)</f>
        <v>83.526086956521709</v>
      </c>
      <c r="I1143" s="11">
        <v>2264</v>
      </c>
      <c r="J1143" s="11">
        <v>-1900</v>
      </c>
      <c r="K1143" s="11">
        <v>-967</v>
      </c>
      <c r="L1143" s="11">
        <f t="shared" si="24"/>
        <v>-2867</v>
      </c>
      <c r="M1143" s="11">
        <f t="shared" si="25"/>
        <v>-603</v>
      </c>
    </row>
    <row r="1144" spans="1:13">
      <c r="A1144" s="7">
        <v>44973</v>
      </c>
      <c r="B1144" s="8">
        <v>81.973782771535781</v>
      </c>
      <c r="E1144" s="8">
        <v>82.9</v>
      </c>
      <c r="F1144" s="10">
        <f>AVERAGE($E$1098:E1144)</f>
        <v>83.512765957446774</v>
      </c>
      <c r="I1144" s="11">
        <v>3713</v>
      </c>
      <c r="J1144" s="11">
        <v>-1900</v>
      </c>
      <c r="K1144" s="11">
        <v>-538</v>
      </c>
      <c r="L1144" s="11">
        <f t="shared" si="24"/>
        <v>-2438</v>
      </c>
      <c r="M1144" s="11">
        <f t="shared" si="25"/>
        <v>1275</v>
      </c>
    </row>
    <row r="1145" spans="1:13">
      <c r="A1145" s="7">
        <v>44974</v>
      </c>
      <c r="B1145" s="8">
        <v>81.907116104869118</v>
      </c>
      <c r="E1145" s="8">
        <f>E1144+0.5</f>
        <v>83.4</v>
      </c>
      <c r="F1145" s="10">
        <f>AVERAGE($E$1098:E1145)</f>
        <v>83.510416666666643</v>
      </c>
      <c r="I1145" s="11">
        <v>3500</v>
      </c>
      <c r="J1145" s="11">
        <v>-1900</v>
      </c>
      <c r="K1145" s="11">
        <v>-1938</v>
      </c>
      <c r="L1145" s="11">
        <f t="shared" si="24"/>
        <v>-3838</v>
      </c>
      <c r="M1145" s="11">
        <f t="shared" si="25"/>
        <v>-338</v>
      </c>
    </row>
    <row r="1146" spans="1:13">
      <c r="A1146" s="7">
        <v>44975</v>
      </c>
      <c r="B1146" s="8">
        <v>81.840449438202455</v>
      </c>
      <c r="E1146" s="8">
        <f>E1145+0.5</f>
        <v>83.9</v>
      </c>
      <c r="F1146" s="10">
        <f>AVERAGE($E$1098:E1146)</f>
        <v>83.518367346938746</v>
      </c>
      <c r="I1146" s="11">
        <v>3500</v>
      </c>
      <c r="J1146" s="11">
        <v>-1900</v>
      </c>
      <c r="K1146" s="11">
        <v>-1457</v>
      </c>
      <c r="L1146" s="11">
        <f t="shared" si="24"/>
        <v>-3357</v>
      </c>
      <c r="M1146" s="11">
        <f t="shared" si="25"/>
        <v>143</v>
      </c>
    </row>
    <row r="1147" spans="1:13">
      <c r="A1147" s="7">
        <v>44976</v>
      </c>
      <c r="B1147" s="8">
        <v>81.773782771535792</v>
      </c>
      <c r="E1147" s="8">
        <f>E1146+0.5</f>
        <v>84.4</v>
      </c>
      <c r="F1147" s="10">
        <f>AVERAGE($E$1098:E1147)</f>
        <v>83.535999999999973</v>
      </c>
      <c r="I1147" s="11">
        <v>3500</v>
      </c>
      <c r="J1147" s="11">
        <v>-1900</v>
      </c>
      <c r="K1147" s="11">
        <v>-1576</v>
      </c>
      <c r="L1147" s="11">
        <f t="shared" si="24"/>
        <v>-3476</v>
      </c>
      <c r="M1147" s="11">
        <f t="shared" si="25"/>
        <v>24</v>
      </c>
    </row>
    <row r="1148" spans="1:13">
      <c r="A1148" s="7">
        <v>44977</v>
      </c>
      <c r="B1148" s="8">
        <v>81.707116104869129</v>
      </c>
      <c r="E1148" s="8">
        <f>E1147+0.5</f>
        <v>84.9</v>
      </c>
      <c r="F1148" s="10">
        <f>AVERAGE($E$1098:E1148)</f>
        <v>83.562745098039173</v>
      </c>
      <c r="I1148" s="11">
        <v>3500</v>
      </c>
      <c r="J1148" s="11">
        <v>-1900</v>
      </c>
      <c r="K1148" s="11">
        <v>-462</v>
      </c>
      <c r="L1148" s="11">
        <f t="shared" si="24"/>
        <v>-2362</v>
      </c>
      <c r="M1148" s="11">
        <f t="shared" si="25"/>
        <v>1138</v>
      </c>
    </row>
    <row r="1149" spans="1:13">
      <c r="A1149" s="7">
        <v>44978</v>
      </c>
      <c r="B1149" s="8">
        <v>81.640449438202467</v>
      </c>
      <c r="E1149" s="8">
        <v>85.4</v>
      </c>
      <c r="F1149" s="10">
        <f>AVERAGE($E$1098:E1149)</f>
        <v>83.598076923076874</v>
      </c>
      <c r="I1149" s="11">
        <v>2109</v>
      </c>
      <c r="J1149" s="11">
        <v>-1900</v>
      </c>
      <c r="K1149" s="11">
        <v>-861</v>
      </c>
      <c r="L1149" s="11">
        <f t="shared" si="24"/>
        <v>-2761</v>
      </c>
      <c r="M1149" s="11">
        <f t="shared" si="25"/>
        <v>-652</v>
      </c>
    </row>
    <row r="1150" spans="1:13">
      <c r="A1150" s="7">
        <v>44979</v>
      </c>
      <c r="B1150" s="8">
        <v>81.573782771535804</v>
      </c>
      <c r="E1150" s="8">
        <v>84.5</v>
      </c>
      <c r="F1150" s="10">
        <f>AVERAGE($E$1098:E1150)</f>
        <v>83.615094339622601</v>
      </c>
      <c r="I1150" s="11">
        <v>2144</v>
      </c>
      <c r="J1150" s="11">
        <v>-1900</v>
      </c>
      <c r="K1150" s="11">
        <v>-1371</v>
      </c>
      <c r="L1150" s="11">
        <f t="shared" si="24"/>
        <v>-3271</v>
      </c>
      <c r="M1150" s="11">
        <f t="shared" si="25"/>
        <v>-1127</v>
      </c>
    </row>
    <row r="1151" spans="1:13">
      <c r="A1151" s="7">
        <v>44980</v>
      </c>
      <c r="B1151" s="8">
        <v>81.507116104869141</v>
      </c>
      <c r="E1151" s="8">
        <v>84.4</v>
      </c>
      <c r="F1151" s="10">
        <f>AVERAGE($E$1098:E1151)</f>
        <v>83.629629629629576</v>
      </c>
      <c r="I1151" s="11">
        <v>2559</v>
      </c>
      <c r="J1151" s="11">
        <v>-1900</v>
      </c>
      <c r="K1151" s="11">
        <v>-791</v>
      </c>
      <c r="L1151" s="11">
        <f t="shared" si="24"/>
        <v>-2691</v>
      </c>
      <c r="M1151" s="11">
        <f t="shared" si="25"/>
        <v>-132</v>
      </c>
    </row>
    <row r="1152" spans="1:13">
      <c r="A1152" s="7">
        <v>44981</v>
      </c>
      <c r="B1152" s="8">
        <v>81.440449438202478</v>
      </c>
      <c r="E1152" s="8">
        <v>84.4</v>
      </c>
      <c r="F1152" s="10">
        <f>AVERAGE($E$1098:E1152)</f>
        <v>83.643636363636304</v>
      </c>
      <c r="I1152" s="11">
        <v>2577</v>
      </c>
      <c r="J1152" s="11">
        <v>-1900</v>
      </c>
      <c r="K1152" s="11">
        <v>-523</v>
      </c>
      <c r="L1152" s="11">
        <f t="shared" si="24"/>
        <v>-2423</v>
      </c>
      <c r="M1152" s="11">
        <f t="shared" si="25"/>
        <v>154</v>
      </c>
    </row>
    <row r="1153" spans="1:13">
      <c r="A1153" s="7">
        <v>44982</v>
      </c>
      <c r="B1153" s="8">
        <v>81.373782771535815</v>
      </c>
      <c r="E1153" s="8">
        <v>84.6</v>
      </c>
      <c r="F1153" s="10">
        <f>AVERAGE($E$1098:E1153)</f>
        <v>83.660714285714235</v>
      </c>
      <c r="I1153" s="11">
        <v>2726</v>
      </c>
      <c r="J1153" s="11">
        <v>-1900</v>
      </c>
      <c r="K1153" s="11">
        <v>-2006</v>
      </c>
      <c r="L1153" s="11">
        <f t="shared" si="24"/>
        <v>-3906</v>
      </c>
      <c r="M1153" s="11">
        <f t="shared" si="25"/>
        <v>-1180</v>
      </c>
    </row>
    <row r="1154" spans="1:13">
      <c r="A1154" s="7">
        <v>44983</v>
      </c>
      <c r="B1154" s="8">
        <v>81.307116104869152</v>
      </c>
      <c r="E1154" s="8">
        <v>85</v>
      </c>
      <c r="F1154" s="10">
        <f>AVERAGE($E$1098:E1154)</f>
        <v>83.684210526315738</v>
      </c>
      <c r="I1154" s="11">
        <v>3000</v>
      </c>
      <c r="J1154" s="11">
        <v>-1900</v>
      </c>
      <c r="K1154" s="11">
        <v>-453</v>
      </c>
      <c r="L1154" s="11">
        <f t="shared" si="24"/>
        <v>-2353</v>
      </c>
      <c r="M1154" s="11">
        <f t="shared" si="25"/>
        <v>647</v>
      </c>
    </row>
    <row r="1155" spans="1:13">
      <c r="A1155" s="7">
        <v>44984</v>
      </c>
      <c r="B1155" s="8">
        <v>81.240449438202489</v>
      </c>
      <c r="E1155" s="8">
        <v>85.2</v>
      </c>
      <c r="F1155" s="10">
        <f>AVERAGE($E$1098:E1155)</f>
        <v>83.710344827586155</v>
      </c>
      <c r="I1155" s="11">
        <v>2653</v>
      </c>
      <c r="J1155" s="11">
        <v>-1900</v>
      </c>
      <c r="K1155" s="11">
        <v>-2454</v>
      </c>
      <c r="L1155" s="11">
        <f t="shared" si="24"/>
        <v>-4354</v>
      </c>
      <c r="M1155" s="11">
        <f t="shared" si="25"/>
        <v>-1701</v>
      </c>
    </row>
    <row r="1156" spans="1:13">
      <c r="A1156" s="7">
        <v>44985</v>
      </c>
      <c r="B1156" s="8">
        <v>81.173782771535826</v>
      </c>
      <c r="E1156" s="8">
        <v>85.2</v>
      </c>
      <c r="F1156" s="10">
        <f>AVERAGE($E$1098:E1156)</f>
        <v>83.735593220338927</v>
      </c>
      <c r="I1156" s="11">
        <v>1915</v>
      </c>
      <c r="J1156" s="11">
        <v>-1900</v>
      </c>
      <c r="K1156" s="11">
        <v>-894</v>
      </c>
      <c r="L1156" s="11">
        <f t="shared" si="24"/>
        <v>-2794</v>
      </c>
      <c r="M1156" s="11">
        <f t="shared" si="25"/>
        <v>-879</v>
      </c>
    </row>
    <row r="1157" spans="1:13">
      <c r="A1157" s="7">
        <v>44986</v>
      </c>
      <c r="B1157" s="8">
        <v>83.007116104869169</v>
      </c>
      <c r="E1157" s="8">
        <v>85.3</v>
      </c>
      <c r="F1157" s="10">
        <f>AVERAGE($E$1098:E1157)</f>
        <v>83.761666666666613</v>
      </c>
      <c r="I1157" s="11">
        <v>2232</v>
      </c>
      <c r="J1157" s="11">
        <v>-2000</v>
      </c>
      <c r="K1157" s="11">
        <v>-1317</v>
      </c>
      <c r="L1157" s="11">
        <f t="shared" si="24"/>
        <v>-3317</v>
      </c>
      <c r="M1157" s="11">
        <f t="shared" si="25"/>
        <v>-1085</v>
      </c>
    </row>
    <row r="1158" spans="1:13">
      <c r="A1158" s="7">
        <v>44987</v>
      </c>
      <c r="B1158" s="8">
        <v>82.940449438202506</v>
      </c>
      <c r="E1158" s="8">
        <v>83.9</v>
      </c>
      <c r="F1158" s="10">
        <f>AVERAGE($E$1098:E1158)</f>
        <v>83.763934426229454</v>
      </c>
      <c r="I1158" s="11">
        <v>2346</v>
      </c>
      <c r="J1158" s="11">
        <v>-2000</v>
      </c>
      <c r="K1158" s="11">
        <v>-708</v>
      </c>
      <c r="L1158" s="11">
        <f t="shared" si="24"/>
        <v>-2708</v>
      </c>
      <c r="M1158" s="11">
        <f t="shared" si="25"/>
        <v>-362</v>
      </c>
    </row>
    <row r="1159" spans="1:13">
      <c r="A1159" s="7">
        <v>44988</v>
      </c>
      <c r="B1159" s="8">
        <v>82.873782771535843</v>
      </c>
      <c r="E1159" s="8">
        <v>84.2</v>
      </c>
      <c r="F1159" s="10">
        <f>AVERAGE($E$1098:E1159)</f>
        <v>83.770967741935422</v>
      </c>
      <c r="I1159" s="11">
        <v>2459</v>
      </c>
      <c r="J1159" s="11">
        <v>-2000</v>
      </c>
      <c r="K1159" s="11">
        <v>-629</v>
      </c>
      <c r="L1159" s="11">
        <f t="shared" si="24"/>
        <v>-2629</v>
      </c>
      <c r="M1159" s="11">
        <f t="shared" si="25"/>
        <v>-170</v>
      </c>
    </row>
    <row r="1160" spans="1:13">
      <c r="A1160" s="7">
        <v>44989</v>
      </c>
      <c r="B1160" s="8">
        <v>82.807116104869181</v>
      </c>
      <c r="E1160" s="8">
        <v>84.2</v>
      </c>
      <c r="F1160" s="10">
        <f>AVERAGE($E$1098:E1160)</f>
        <v>83.777777777777715</v>
      </c>
      <c r="I1160" s="11">
        <v>3303</v>
      </c>
      <c r="J1160" s="11">
        <v>-2000</v>
      </c>
      <c r="K1160" s="11">
        <v>-1046</v>
      </c>
      <c r="L1160" s="11">
        <f t="shared" si="24"/>
        <v>-3046</v>
      </c>
      <c r="M1160" s="11">
        <f t="shared" si="25"/>
        <v>257</v>
      </c>
    </row>
    <row r="1161" spans="1:13">
      <c r="A1161" s="7">
        <v>44990</v>
      </c>
      <c r="B1161" s="8">
        <v>82.740449438202518</v>
      </c>
      <c r="E1161" s="8">
        <v>85.1</v>
      </c>
      <c r="F1161" s="10">
        <f>AVERAGE($E$1098:E1161)</f>
        <v>83.798437499999949</v>
      </c>
      <c r="I1161" s="11">
        <v>3328</v>
      </c>
      <c r="J1161" s="11">
        <v>-2000</v>
      </c>
      <c r="K1161" s="11">
        <v>-1846</v>
      </c>
      <c r="L1161" s="11">
        <f t="shared" si="24"/>
        <v>-3846</v>
      </c>
      <c r="M1161" s="11">
        <f t="shared" si="25"/>
        <v>-518</v>
      </c>
    </row>
    <row r="1162" spans="1:13">
      <c r="A1162" s="7">
        <v>44991</v>
      </c>
      <c r="B1162" s="8">
        <v>82.673782771535855</v>
      </c>
      <c r="E1162" s="8">
        <v>84.4</v>
      </c>
      <c r="F1162" s="10">
        <f>AVERAGE($E$1098:E1162)</f>
        <v>83.80769230769225</v>
      </c>
      <c r="I1162" s="11">
        <v>3000</v>
      </c>
      <c r="J1162" s="11">
        <v>-2000</v>
      </c>
      <c r="K1162" s="11">
        <v>-1214</v>
      </c>
      <c r="L1162" s="11">
        <f t="shared" si="24"/>
        <v>-3214</v>
      </c>
      <c r="M1162" s="11">
        <f t="shared" si="25"/>
        <v>-214</v>
      </c>
    </row>
    <row r="1163" spans="1:13">
      <c r="A1163" s="7">
        <v>44992</v>
      </c>
      <c r="B1163" s="8">
        <v>82.607116104869192</v>
      </c>
      <c r="E1163" s="8">
        <v>83.8</v>
      </c>
      <c r="F1163" s="10">
        <f>AVERAGE($E$1098:E1163)</f>
        <v>83.807575757575705</v>
      </c>
      <c r="I1163" s="11">
        <v>3000</v>
      </c>
      <c r="J1163" s="11">
        <v>-2000</v>
      </c>
      <c r="K1163" s="11">
        <v>-832</v>
      </c>
      <c r="L1163" s="11">
        <f t="shared" si="24"/>
        <v>-2832</v>
      </c>
      <c r="M1163" s="11">
        <f t="shared" si="25"/>
        <v>168</v>
      </c>
    </row>
    <row r="1164" spans="1:13">
      <c r="A1164" s="7">
        <v>44993</v>
      </c>
      <c r="B1164" s="8">
        <v>82.540449438202529</v>
      </c>
      <c r="E1164" s="8">
        <v>85.6</v>
      </c>
      <c r="F1164" s="10">
        <f>AVERAGE($E$1098:E1164)</f>
        <v>83.834328358208907</v>
      </c>
      <c r="I1164" s="11">
        <v>3000</v>
      </c>
      <c r="J1164" s="11">
        <v>-2000</v>
      </c>
      <c r="K1164" s="11">
        <v>-1012</v>
      </c>
      <c r="L1164" s="11">
        <f t="shared" si="24"/>
        <v>-3012</v>
      </c>
      <c r="M1164" s="11">
        <f t="shared" si="25"/>
        <v>-12</v>
      </c>
    </row>
    <row r="1165" spans="1:13">
      <c r="A1165" s="7">
        <v>44994</v>
      </c>
      <c r="B1165" s="8">
        <v>82.473782771535866</v>
      </c>
      <c r="E1165" s="8">
        <v>84.7</v>
      </c>
      <c r="F1165" s="10">
        <f>AVERAGE($E$1098:E1165)</f>
        <v>83.847058823529366</v>
      </c>
      <c r="I1165" s="11">
        <v>3000</v>
      </c>
      <c r="J1165" s="11">
        <v>-2000</v>
      </c>
      <c r="K1165" s="11">
        <v>-775</v>
      </c>
      <c r="L1165" s="11">
        <f t="shared" si="24"/>
        <v>-2775</v>
      </c>
      <c r="M1165" s="11">
        <f t="shared" si="25"/>
        <v>225</v>
      </c>
    </row>
    <row r="1166" spans="1:13">
      <c r="A1166" s="7">
        <v>44995</v>
      </c>
      <c r="B1166" s="8">
        <v>82.407116104869203</v>
      </c>
      <c r="E1166" s="8">
        <v>84.6</v>
      </c>
      <c r="F1166" s="10">
        <f>AVERAGE($E$1098:E1166)</f>
        <v>83.857971014492705</v>
      </c>
      <c r="I1166" s="11">
        <v>3000</v>
      </c>
      <c r="J1166" s="11">
        <v>-2000</v>
      </c>
      <c r="K1166" s="11">
        <v>-558</v>
      </c>
      <c r="L1166" s="11">
        <f t="shared" si="24"/>
        <v>-2558</v>
      </c>
      <c r="M1166" s="11">
        <f t="shared" si="25"/>
        <v>442</v>
      </c>
    </row>
    <row r="1167" spans="1:13">
      <c r="A1167" s="7">
        <v>44996</v>
      </c>
      <c r="B1167" s="8">
        <v>82.34044943820254</v>
      </c>
      <c r="E1167" s="8">
        <v>84.5</v>
      </c>
      <c r="F1167" s="10">
        <f>AVERAGE($E$1098:E1167)</f>
        <v>83.867142857142809</v>
      </c>
      <c r="I1167" s="11">
        <v>3500</v>
      </c>
      <c r="J1167" s="11">
        <v>-2000</v>
      </c>
      <c r="K1167" s="11">
        <v>-1312</v>
      </c>
      <c r="L1167" s="11">
        <f t="shared" si="24"/>
        <v>-3312</v>
      </c>
      <c r="M1167" s="11">
        <f t="shared" si="25"/>
        <v>188</v>
      </c>
    </row>
    <row r="1168" spans="1:13">
      <c r="A1168" s="7">
        <v>44997</v>
      </c>
      <c r="B1168" s="8">
        <v>82.273782771535878</v>
      </c>
      <c r="E1168" s="8">
        <v>86.5</v>
      </c>
      <c r="F1168" s="10">
        <f>AVERAGE($E$1098:E1168)</f>
        <v>83.904225352112633</v>
      </c>
      <c r="I1168" s="11">
        <v>3500</v>
      </c>
      <c r="J1168" s="11">
        <v>-2000</v>
      </c>
      <c r="K1168" s="11">
        <v>-722</v>
      </c>
      <c r="L1168" s="11">
        <f t="shared" si="24"/>
        <v>-2722</v>
      </c>
      <c r="M1168" s="11">
        <f t="shared" si="25"/>
        <v>778</v>
      </c>
    </row>
    <row r="1169" spans="1:13">
      <c r="A1169" s="7">
        <v>44998</v>
      </c>
      <c r="B1169" s="8">
        <v>82.207116104869215</v>
      </c>
      <c r="E1169" s="8">
        <v>86.3</v>
      </c>
      <c r="F1169" s="10">
        <f>AVERAGE($E$1098:E1169)</f>
        <v>83.937499999999957</v>
      </c>
      <c r="I1169" s="11">
        <v>1853</v>
      </c>
      <c r="J1169" s="11">
        <v>-2000</v>
      </c>
      <c r="K1169" s="11">
        <v>-1129</v>
      </c>
      <c r="L1169" s="11">
        <f t="shared" si="24"/>
        <v>-3129</v>
      </c>
      <c r="M1169" s="11">
        <f t="shared" si="25"/>
        <v>-1276</v>
      </c>
    </row>
    <row r="1170" spans="1:13">
      <c r="A1170" s="7">
        <v>44999</v>
      </c>
      <c r="B1170" s="8">
        <v>82.140449438202552</v>
      </c>
      <c r="E1170" s="8">
        <v>84.9</v>
      </c>
      <c r="F1170" s="10">
        <f>AVERAGE($E$1098:E1170)</f>
        <v>83.950684931506814</v>
      </c>
      <c r="I1170" s="11">
        <v>2450</v>
      </c>
      <c r="J1170" s="11">
        <v>-2000</v>
      </c>
      <c r="K1170" s="11">
        <v>-1033</v>
      </c>
      <c r="L1170" s="11">
        <f t="shared" si="24"/>
        <v>-3033</v>
      </c>
      <c r="M1170" s="11">
        <f t="shared" si="25"/>
        <v>-583</v>
      </c>
    </row>
    <row r="1171" spans="1:13">
      <c r="A1171" s="7">
        <v>45000</v>
      </c>
      <c r="B1171" s="8">
        <v>82.073782771535889</v>
      </c>
      <c r="E1171" s="8">
        <v>84.9</v>
      </c>
      <c r="F1171" s="10">
        <f>AVERAGE($E$1098:E1171)</f>
        <v>83.963513513513462</v>
      </c>
      <c r="I1171" s="11">
        <v>3000</v>
      </c>
      <c r="J1171" s="11">
        <v>-2000</v>
      </c>
      <c r="K1171" s="11">
        <v>-522</v>
      </c>
      <c r="L1171" s="11">
        <f t="shared" si="24"/>
        <v>-2522</v>
      </c>
      <c r="M1171" s="11">
        <f t="shared" si="25"/>
        <v>478</v>
      </c>
    </row>
    <row r="1172" spans="1:13">
      <c r="A1172" s="7">
        <v>45001</v>
      </c>
      <c r="B1172" s="8">
        <v>82.007116104869226</v>
      </c>
      <c r="E1172" s="8">
        <f>E1171+0.3</f>
        <v>85.2</v>
      </c>
      <c r="F1172" s="10">
        <f>AVERAGE($E$1098:E1172)</f>
        <v>83.979999999999947</v>
      </c>
      <c r="I1172" s="11">
        <v>3000</v>
      </c>
      <c r="J1172" s="11">
        <v>-2000</v>
      </c>
      <c r="K1172" s="11">
        <v>-1157</v>
      </c>
      <c r="L1172" s="11">
        <f t="shared" si="24"/>
        <v>-3157</v>
      </c>
      <c r="M1172" s="11">
        <f t="shared" si="25"/>
        <v>-157</v>
      </c>
    </row>
    <row r="1173" spans="1:13">
      <c r="A1173" s="7">
        <v>45002</v>
      </c>
      <c r="B1173" s="8">
        <v>81.940449438202563</v>
      </c>
      <c r="E1173" s="8">
        <f>E1172+0.3</f>
        <v>85.5</v>
      </c>
      <c r="F1173" s="10">
        <f>AVERAGE($E$1098:E1173)</f>
        <v>83.999999999999957</v>
      </c>
      <c r="I1173" s="11">
        <v>3000</v>
      </c>
      <c r="J1173" s="11">
        <v>-2000</v>
      </c>
      <c r="K1173" s="11">
        <v>-1566</v>
      </c>
      <c r="L1173" s="11">
        <f t="shared" si="24"/>
        <v>-3566</v>
      </c>
      <c r="M1173" s="11">
        <f t="shared" si="25"/>
        <v>-566</v>
      </c>
    </row>
    <row r="1174" spans="1:13">
      <c r="A1174" s="7">
        <v>45003</v>
      </c>
      <c r="B1174" s="8">
        <v>81.8737827715359</v>
      </c>
      <c r="E1174" s="8">
        <f>E1173+0.3</f>
        <v>85.8</v>
      </c>
      <c r="F1174" s="10">
        <f>AVERAGE($E$1098:E1174)</f>
        <v>84.023376623376578</v>
      </c>
      <c r="I1174" s="11">
        <v>3500</v>
      </c>
      <c r="J1174" s="11">
        <v>-2000</v>
      </c>
      <c r="K1174" s="11">
        <v>-1338</v>
      </c>
      <c r="L1174" s="11">
        <f t="shared" si="24"/>
        <v>-3338</v>
      </c>
      <c r="M1174" s="11">
        <f t="shared" si="25"/>
        <v>162</v>
      </c>
    </row>
    <row r="1175" spans="1:13">
      <c r="A1175" s="7">
        <v>45004</v>
      </c>
      <c r="B1175" s="8">
        <v>81.807116104869237</v>
      </c>
      <c r="E1175" s="8">
        <f>E1174+0.3</f>
        <v>86.1</v>
      </c>
      <c r="F1175" s="10">
        <f>AVERAGE($E$1098:E1175)</f>
        <v>84.049999999999955</v>
      </c>
      <c r="I1175" s="11">
        <v>3500</v>
      </c>
      <c r="J1175" s="11">
        <v>-2000</v>
      </c>
      <c r="K1175" s="11">
        <v>-1410</v>
      </c>
      <c r="L1175" s="11">
        <f t="shared" si="24"/>
        <v>-3410</v>
      </c>
      <c r="M1175" s="11">
        <f t="shared" si="25"/>
        <v>90</v>
      </c>
    </row>
    <row r="1176" spans="1:13">
      <c r="A1176" s="7">
        <v>45005</v>
      </c>
      <c r="B1176" s="8">
        <v>81.740449438202575</v>
      </c>
      <c r="E1176" s="8">
        <f>E1175+0.3</f>
        <v>86.399999999999991</v>
      </c>
      <c r="F1176" s="10">
        <f>AVERAGE($E$1098:E1176)</f>
        <v>84.07974683544299</v>
      </c>
      <c r="I1176" s="11">
        <v>3000</v>
      </c>
      <c r="J1176" s="11">
        <v>-2000</v>
      </c>
      <c r="K1176" s="11">
        <v>-515</v>
      </c>
      <c r="L1176" s="11">
        <f t="shared" si="24"/>
        <v>-2515</v>
      </c>
      <c r="M1176" s="11">
        <f t="shared" si="25"/>
        <v>485</v>
      </c>
    </row>
    <row r="1177" spans="1:13">
      <c r="A1177" s="7">
        <v>45006</v>
      </c>
      <c r="B1177" s="8">
        <v>81.673782771535912</v>
      </c>
      <c r="E1177" s="8">
        <v>86.8</v>
      </c>
      <c r="F1177" s="10">
        <f>AVERAGE($E$1098:E1177)</f>
        <v>84.113749999999953</v>
      </c>
      <c r="I1177" s="11">
        <v>3000</v>
      </c>
      <c r="J1177" s="11">
        <v>-2000</v>
      </c>
      <c r="K1177" s="11">
        <v>-467</v>
      </c>
      <c r="L1177" s="11">
        <f t="shared" si="24"/>
        <v>-2467</v>
      </c>
      <c r="M1177" s="11">
        <f t="shared" si="25"/>
        <v>533</v>
      </c>
    </row>
    <row r="1178" spans="1:13">
      <c r="A1178" s="7">
        <v>45007</v>
      </c>
      <c r="B1178" s="8">
        <v>81.607116104869249</v>
      </c>
      <c r="E1178" s="8">
        <v>88.1</v>
      </c>
      <c r="F1178" s="10">
        <f>AVERAGE($E$1098:E1178)</f>
        <v>84.162962962962922</v>
      </c>
      <c r="I1178" s="11">
        <v>3000</v>
      </c>
      <c r="J1178" s="11">
        <v>-2000</v>
      </c>
      <c r="K1178" s="11">
        <v>-1415</v>
      </c>
      <c r="L1178" s="11">
        <f t="shared" si="24"/>
        <v>-3415</v>
      </c>
      <c r="M1178" s="11">
        <f t="shared" si="25"/>
        <v>-415</v>
      </c>
    </row>
    <row r="1179" spans="1:13">
      <c r="A1179" s="7">
        <v>45008</v>
      </c>
      <c r="B1179" s="8">
        <v>81.540449438202586</v>
      </c>
      <c r="E1179" s="8">
        <v>87.4</v>
      </c>
      <c r="F1179" s="10">
        <f>AVERAGE($E$1098:E1179)</f>
        <v>84.202439024390202</v>
      </c>
      <c r="I1179" s="11">
        <v>3000</v>
      </c>
      <c r="J1179" s="11">
        <v>-2000</v>
      </c>
      <c r="K1179" s="11">
        <v>-613</v>
      </c>
      <c r="L1179" s="11">
        <f t="shared" si="24"/>
        <v>-2613</v>
      </c>
      <c r="M1179" s="11">
        <f t="shared" si="25"/>
        <v>387</v>
      </c>
    </row>
    <row r="1180" spans="1:13">
      <c r="A1180" s="7">
        <v>45009</v>
      </c>
      <c r="B1180" s="8">
        <v>81.473782771535923</v>
      </c>
      <c r="E1180" s="8">
        <v>86.9</v>
      </c>
      <c r="F1180" s="10">
        <f>AVERAGE($E$1098:E1180)</f>
        <v>84.234939759036095</v>
      </c>
      <c r="I1180" s="11">
        <v>3000</v>
      </c>
      <c r="J1180" s="11">
        <v>-2000</v>
      </c>
      <c r="K1180" s="11">
        <v>-3663</v>
      </c>
      <c r="L1180" s="11">
        <f t="shared" si="24"/>
        <v>-5663</v>
      </c>
      <c r="M1180" s="11">
        <f t="shared" si="25"/>
        <v>-2663</v>
      </c>
    </row>
    <row r="1181" spans="1:13">
      <c r="A1181" s="7">
        <v>45010</v>
      </c>
      <c r="B1181" s="8">
        <v>81.40711610486926</v>
      </c>
      <c r="E1181" s="8">
        <v>86</v>
      </c>
      <c r="F1181" s="10">
        <f>AVERAGE($E$1098:E1181)</f>
        <v>84.255952380952337</v>
      </c>
      <c r="I1181" s="11">
        <v>3500</v>
      </c>
      <c r="J1181" s="11">
        <v>-2000</v>
      </c>
      <c r="K1181" s="11">
        <v>-1001</v>
      </c>
      <c r="L1181" s="11">
        <f t="shared" si="24"/>
        <v>-3001</v>
      </c>
      <c r="M1181" s="11">
        <f t="shared" si="25"/>
        <v>499</v>
      </c>
    </row>
    <row r="1182" spans="1:13">
      <c r="A1182" s="7">
        <v>45011</v>
      </c>
      <c r="B1182" s="8">
        <v>81.340449438202597</v>
      </c>
      <c r="E1182" s="8">
        <v>87.2</v>
      </c>
      <c r="F1182" s="10">
        <f>AVERAGE($E$1098:E1182)</f>
        <v>84.290588235294067</v>
      </c>
      <c r="I1182" s="11">
        <v>3500</v>
      </c>
      <c r="J1182" s="11">
        <v>-2000</v>
      </c>
      <c r="K1182" s="11">
        <v>-1577</v>
      </c>
      <c r="L1182" s="11">
        <f t="shared" ref="L1182:L1245" si="26">SUM(J1182:K1182)</f>
        <v>-3577</v>
      </c>
      <c r="M1182" s="11">
        <f t="shared" ref="M1182:M1245" si="27">I1182+J1182+K1182</f>
        <v>-77</v>
      </c>
    </row>
    <row r="1183" spans="1:13">
      <c r="A1183" s="7">
        <v>45012</v>
      </c>
      <c r="B1183" s="8">
        <v>81.273782771535934</v>
      </c>
      <c r="E1183" s="8">
        <v>86.1</v>
      </c>
      <c r="F1183" s="10">
        <f>AVERAGE($E$1098:E1183)</f>
        <v>84.31162790697671</v>
      </c>
      <c r="I1183" s="11">
        <v>2410</v>
      </c>
      <c r="J1183" s="11">
        <v>-2000</v>
      </c>
      <c r="K1183" s="11">
        <v>-1375</v>
      </c>
      <c r="L1183" s="11">
        <f t="shared" si="26"/>
        <v>-3375</v>
      </c>
      <c r="M1183" s="11">
        <f t="shared" si="27"/>
        <v>-965</v>
      </c>
    </row>
    <row r="1184" spans="1:13">
      <c r="A1184" s="7">
        <v>45013</v>
      </c>
      <c r="B1184" s="8">
        <v>81.207116104869272</v>
      </c>
      <c r="E1184" s="8">
        <v>85.4</v>
      </c>
      <c r="F1184" s="10">
        <f>AVERAGE($E$1098:E1184)</f>
        <v>84.324137931034443</v>
      </c>
      <c r="I1184" s="11">
        <v>2234</v>
      </c>
      <c r="J1184" s="11">
        <v>-2000</v>
      </c>
      <c r="K1184" s="11">
        <v>-656</v>
      </c>
      <c r="L1184" s="11">
        <f t="shared" si="26"/>
        <v>-2656</v>
      </c>
      <c r="M1184" s="11">
        <f t="shared" si="27"/>
        <v>-422</v>
      </c>
    </row>
    <row r="1185" spans="1:13">
      <c r="A1185" s="7">
        <v>45014</v>
      </c>
      <c r="B1185" s="8">
        <v>81.140449438202609</v>
      </c>
      <c r="E1185" s="8">
        <v>86.1</v>
      </c>
      <c r="F1185" s="10">
        <f>AVERAGE($E$1098:E1185)</f>
        <v>84.344318181818139</v>
      </c>
      <c r="I1185" s="11">
        <v>3000</v>
      </c>
      <c r="J1185" s="11">
        <v>-2000</v>
      </c>
      <c r="K1185" s="11">
        <v>-2652</v>
      </c>
      <c r="L1185" s="11">
        <f t="shared" si="26"/>
        <v>-4652</v>
      </c>
      <c r="M1185" s="11">
        <f t="shared" si="27"/>
        <v>-1652</v>
      </c>
    </row>
    <row r="1186" spans="1:13">
      <c r="A1186" s="7">
        <v>45015</v>
      </c>
      <c r="B1186" s="8">
        <v>81.073782771535946</v>
      </c>
      <c r="E1186" s="8">
        <v>85.1</v>
      </c>
      <c r="F1186" s="10">
        <f>AVERAGE($E$1098:E1186)</f>
        <v>84.352808988764011</v>
      </c>
      <c r="I1186" s="11">
        <v>3000</v>
      </c>
      <c r="J1186" s="11">
        <v>-2000</v>
      </c>
      <c r="K1186" s="11">
        <v>-643</v>
      </c>
      <c r="L1186" s="11">
        <f t="shared" si="26"/>
        <v>-2643</v>
      </c>
      <c r="M1186" s="11">
        <f t="shared" si="27"/>
        <v>357</v>
      </c>
    </row>
    <row r="1187" spans="1:13">
      <c r="A1187" s="7">
        <v>45016</v>
      </c>
      <c r="B1187" s="8">
        <v>81.007116104869283</v>
      </c>
      <c r="E1187" s="8">
        <v>85.9</v>
      </c>
      <c r="F1187" s="10">
        <f>AVERAGE($E$1098:E1187)</f>
        <v>84.369999999999962</v>
      </c>
      <c r="I1187" s="11">
        <v>3000</v>
      </c>
      <c r="J1187" s="11">
        <v>-2000</v>
      </c>
      <c r="K1187" s="11">
        <v>-642</v>
      </c>
      <c r="L1187" s="11">
        <f t="shared" si="26"/>
        <v>-2642</v>
      </c>
      <c r="M1187" s="11">
        <f t="shared" si="27"/>
        <v>358</v>
      </c>
    </row>
    <row r="1188" spans="1:13">
      <c r="A1188" s="7">
        <v>45017</v>
      </c>
      <c r="B1188" s="8">
        <v>86.040449438202614</v>
      </c>
      <c r="E1188" s="8">
        <v>85.5</v>
      </c>
      <c r="F1188" s="10">
        <f>AVERAGE($E$1098:E1188)</f>
        <v>84.382417582417546</v>
      </c>
      <c r="I1188" s="11">
        <v>3000</v>
      </c>
      <c r="J1188" s="11">
        <v>-2000</v>
      </c>
      <c r="K1188" s="11">
        <v>-1925</v>
      </c>
      <c r="L1188" s="11">
        <f t="shared" si="26"/>
        <v>-3925</v>
      </c>
      <c r="M1188" s="11">
        <f t="shared" si="27"/>
        <v>-925</v>
      </c>
    </row>
    <row r="1189" spans="1:13">
      <c r="A1189" s="7">
        <v>45018</v>
      </c>
      <c r="B1189" s="8">
        <v>85.973782771535951</v>
      </c>
      <c r="E1189" s="8">
        <v>85.4</v>
      </c>
      <c r="F1189" s="10">
        <f>AVERAGE($E$1098:E1189)</f>
        <v>84.393478260869529</v>
      </c>
      <c r="I1189" s="11">
        <v>3000</v>
      </c>
      <c r="J1189" s="11">
        <v>-2000</v>
      </c>
      <c r="K1189" s="11">
        <v>-872</v>
      </c>
      <c r="L1189" s="11">
        <f t="shared" si="26"/>
        <v>-2872</v>
      </c>
      <c r="M1189" s="11">
        <f t="shared" si="27"/>
        <v>128</v>
      </c>
    </row>
    <row r="1190" spans="1:13">
      <c r="A1190" s="7">
        <v>45019</v>
      </c>
      <c r="B1190" s="8">
        <v>85.907116104869289</v>
      </c>
      <c r="E1190" s="8">
        <v>84.9</v>
      </c>
      <c r="F1190" s="10">
        <f>AVERAGE($E$1098:E1190)</f>
        <v>84.398924731182746</v>
      </c>
      <c r="I1190" s="11">
        <v>1954</v>
      </c>
      <c r="J1190" s="11">
        <v>-2000</v>
      </c>
      <c r="K1190" s="11">
        <v>-1322</v>
      </c>
      <c r="L1190" s="11">
        <f t="shared" si="26"/>
        <v>-3322</v>
      </c>
      <c r="M1190" s="11">
        <f t="shared" si="27"/>
        <v>-1368</v>
      </c>
    </row>
    <row r="1191" spans="1:13">
      <c r="A1191" s="7">
        <v>45020</v>
      </c>
      <c r="B1191" s="8">
        <v>85.840449438202626</v>
      </c>
      <c r="E1191" s="8">
        <v>84.5</v>
      </c>
      <c r="F1191" s="10">
        <f>AVERAGE($E$1098:E1191)</f>
        <v>84.399999999999949</v>
      </c>
      <c r="I1191" s="11">
        <v>2028</v>
      </c>
      <c r="J1191" s="11">
        <v>-2000</v>
      </c>
      <c r="K1191" s="11">
        <v>-700</v>
      </c>
      <c r="L1191" s="11">
        <f t="shared" si="26"/>
        <v>-2700</v>
      </c>
      <c r="M1191" s="11">
        <f t="shared" si="27"/>
        <v>-672</v>
      </c>
    </row>
    <row r="1192" spans="1:13">
      <c r="A1192" s="7">
        <v>45021</v>
      </c>
      <c r="B1192" s="8">
        <v>85.773782771535963</v>
      </c>
      <c r="E1192" s="8">
        <v>85.1</v>
      </c>
      <c r="F1192" s="10">
        <f>AVERAGE($E$1098:E1192)</f>
        <v>84.407368421052595</v>
      </c>
      <c r="I1192" s="11">
        <v>2090</v>
      </c>
      <c r="J1192" s="11">
        <v>-2000</v>
      </c>
      <c r="K1192" s="11">
        <v>-2167</v>
      </c>
      <c r="L1192" s="11">
        <f t="shared" si="26"/>
        <v>-4167</v>
      </c>
      <c r="M1192" s="11">
        <f t="shared" si="27"/>
        <v>-2077</v>
      </c>
    </row>
    <row r="1193" spans="1:13">
      <c r="A1193" s="7">
        <v>45022</v>
      </c>
      <c r="B1193" s="8">
        <v>85.7071161048693</v>
      </c>
      <c r="E1193" s="8">
        <v>83.8</v>
      </c>
      <c r="F1193" s="10">
        <f>AVERAGE($E$1098:E1193)</f>
        <v>84.401041666666629</v>
      </c>
      <c r="I1193" s="11">
        <v>2432</v>
      </c>
      <c r="J1193" s="11">
        <v>-2000</v>
      </c>
      <c r="K1193" s="11">
        <v>-601</v>
      </c>
      <c r="L1193" s="11">
        <f t="shared" si="26"/>
        <v>-2601</v>
      </c>
      <c r="M1193" s="11">
        <f t="shared" si="27"/>
        <v>-169</v>
      </c>
    </row>
    <row r="1194" spans="1:13">
      <c r="A1194" s="7">
        <v>45023</v>
      </c>
      <c r="B1194" s="8">
        <v>85.640449438202637</v>
      </c>
      <c r="E1194" s="8">
        <v>84.1</v>
      </c>
      <c r="F1194" s="10">
        <f>AVERAGE($E$1098:E1194)</f>
        <v>84.397938144329856</v>
      </c>
      <c r="I1194" s="11">
        <v>2455</v>
      </c>
      <c r="J1194" s="11">
        <v>-2000</v>
      </c>
      <c r="K1194" s="11">
        <v>-635</v>
      </c>
      <c r="L1194" s="11">
        <f t="shared" si="26"/>
        <v>-2635</v>
      </c>
      <c r="M1194" s="11">
        <f t="shared" si="27"/>
        <v>-180</v>
      </c>
    </row>
    <row r="1195" spans="1:13">
      <c r="A1195" s="7">
        <v>45024</v>
      </c>
      <c r="B1195" s="8">
        <v>85.573782771535974</v>
      </c>
      <c r="E1195" s="8">
        <v>83.9</v>
      </c>
      <c r="F1195" s="10">
        <f>AVERAGE($E$1098:E1195)</f>
        <v>84.39285714285711</v>
      </c>
      <c r="I1195" s="11">
        <v>3174</v>
      </c>
      <c r="J1195" s="11">
        <v>-2000</v>
      </c>
      <c r="K1195" s="11">
        <v>-1074</v>
      </c>
      <c r="L1195" s="11">
        <f t="shared" si="26"/>
        <v>-3074</v>
      </c>
      <c r="M1195" s="11">
        <f t="shared" si="27"/>
        <v>100</v>
      </c>
    </row>
    <row r="1196" spans="1:13">
      <c r="A1196" s="7">
        <v>45025</v>
      </c>
      <c r="B1196" s="8">
        <v>85.507116104869311</v>
      </c>
      <c r="E1196" s="8">
        <v>85.2</v>
      </c>
      <c r="F1196" s="10">
        <f>AVERAGE($E$1098:E1196)</f>
        <v>84.401010101010073</v>
      </c>
      <c r="I1196" s="11">
        <v>3994</v>
      </c>
      <c r="J1196" s="11">
        <v>-2000</v>
      </c>
      <c r="K1196" s="11">
        <v>-787</v>
      </c>
      <c r="L1196" s="11">
        <f t="shared" si="26"/>
        <v>-2787</v>
      </c>
      <c r="M1196" s="11">
        <f t="shared" si="27"/>
        <v>1207</v>
      </c>
    </row>
    <row r="1197" spans="1:13">
      <c r="A1197" s="7">
        <v>45026</v>
      </c>
      <c r="B1197" s="8">
        <v>85.440449438202648</v>
      </c>
      <c r="E1197" s="8">
        <v>87.3</v>
      </c>
      <c r="F1197" s="10">
        <f>AVERAGE($E$1098:E1197)</f>
        <v>84.429999999999964</v>
      </c>
      <c r="I1197" s="11">
        <v>3875</v>
      </c>
      <c r="J1197" s="11">
        <v>-2000</v>
      </c>
      <c r="K1197" s="11">
        <v>-5085</v>
      </c>
      <c r="L1197" s="11">
        <f t="shared" si="26"/>
        <v>-7085</v>
      </c>
      <c r="M1197" s="11">
        <f t="shared" si="27"/>
        <v>-3210</v>
      </c>
    </row>
    <row r="1198" spans="1:13">
      <c r="A1198" s="7">
        <v>45027</v>
      </c>
      <c r="B1198" s="8">
        <v>85.373782771535986</v>
      </c>
      <c r="E1198" s="8">
        <v>85.5</v>
      </c>
      <c r="F1198" s="10">
        <f>AVERAGE($E$1098:E1198)</f>
        <v>84.44059405940591</v>
      </c>
      <c r="I1198" s="11">
        <v>1954</v>
      </c>
      <c r="J1198" s="11">
        <v>-2000</v>
      </c>
      <c r="K1198" s="11">
        <v>-622</v>
      </c>
      <c r="L1198" s="11">
        <f t="shared" si="26"/>
        <v>-2622</v>
      </c>
      <c r="M1198" s="11">
        <f t="shared" si="27"/>
        <v>-668</v>
      </c>
    </row>
    <row r="1199" spans="1:13">
      <c r="A1199" s="7">
        <v>45028</v>
      </c>
      <c r="B1199" s="8">
        <v>85.307116104869323</v>
      </c>
      <c r="E1199" s="8">
        <v>86</v>
      </c>
      <c r="F1199" s="10">
        <f>AVERAGE($E$1098:E1199)</f>
        <v>84.455882352941146</v>
      </c>
      <c r="I1199" s="11">
        <v>1873</v>
      </c>
      <c r="J1199" s="11">
        <v>-2000</v>
      </c>
      <c r="K1199" s="11">
        <v>-1045</v>
      </c>
      <c r="L1199" s="11">
        <f t="shared" si="26"/>
        <v>-3045</v>
      </c>
      <c r="M1199" s="11">
        <f t="shared" si="27"/>
        <v>-1172</v>
      </c>
    </row>
    <row r="1200" spans="1:13">
      <c r="A1200" s="7">
        <v>45029</v>
      </c>
      <c r="B1200" s="8">
        <v>85.24044943820266</v>
      </c>
      <c r="E1200" s="8">
        <v>84.9</v>
      </c>
      <c r="F1200" s="10">
        <f>AVERAGE($E$1098:E1200)</f>
        <v>84.460194174757248</v>
      </c>
      <c r="I1200" s="11">
        <v>2452</v>
      </c>
      <c r="J1200" s="11">
        <v>-2000</v>
      </c>
      <c r="K1200" s="11">
        <v>-766</v>
      </c>
      <c r="L1200" s="11">
        <f t="shared" si="26"/>
        <v>-2766</v>
      </c>
      <c r="M1200" s="11">
        <f t="shared" si="27"/>
        <v>-314</v>
      </c>
    </row>
    <row r="1201" spans="1:13">
      <c r="A1201" s="7">
        <v>45030</v>
      </c>
      <c r="B1201" s="8">
        <v>85.173782771535997</v>
      </c>
      <c r="E1201" s="8">
        <v>85.5</v>
      </c>
      <c r="F1201" s="10">
        <f>AVERAGE($E$1098:E1201)</f>
        <v>84.470192307692272</v>
      </c>
      <c r="I1201" s="11">
        <v>3000</v>
      </c>
      <c r="J1201" s="11">
        <v>-2000</v>
      </c>
      <c r="K1201" s="11">
        <v>-1167</v>
      </c>
      <c r="L1201" s="11">
        <f t="shared" si="26"/>
        <v>-3167</v>
      </c>
      <c r="M1201" s="11">
        <f t="shared" si="27"/>
        <v>-167</v>
      </c>
    </row>
    <row r="1202" spans="1:13">
      <c r="A1202" s="7">
        <v>45031</v>
      </c>
      <c r="B1202" s="8">
        <v>85.107116104869334</v>
      </c>
      <c r="E1202" s="8">
        <v>84.9</v>
      </c>
      <c r="F1202" s="10">
        <f>AVERAGE($E$1098:E1202)</f>
        <v>84.474285714285671</v>
      </c>
      <c r="I1202" s="11">
        <v>3001</v>
      </c>
      <c r="J1202" s="11">
        <v>-2000</v>
      </c>
      <c r="K1202" s="11">
        <v>-1033</v>
      </c>
      <c r="L1202" s="11">
        <f t="shared" si="26"/>
        <v>-3033</v>
      </c>
      <c r="M1202" s="11">
        <f t="shared" si="27"/>
        <v>-32</v>
      </c>
    </row>
    <row r="1203" spans="1:13">
      <c r="A1203" s="7">
        <v>45032</v>
      </c>
      <c r="B1203" s="8">
        <v>85.040449438202671</v>
      </c>
      <c r="E1203" s="8">
        <v>85.5</v>
      </c>
      <c r="F1203" s="10">
        <f>AVERAGE($E$1098:E1203)</f>
        <v>84.483962264150904</v>
      </c>
      <c r="I1203" s="11">
        <v>3310</v>
      </c>
      <c r="J1203" s="11">
        <v>-2000</v>
      </c>
      <c r="K1203" s="11">
        <v>-3769</v>
      </c>
      <c r="L1203" s="11">
        <f t="shared" si="26"/>
        <v>-5769</v>
      </c>
      <c r="M1203" s="11">
        <f t="shared" si="27"/>
        <v>-2459</v>
      </c>
    </row>
    <row r="1204" spans="1:13">
      <c r="A1204" s="7">
        <v>45033</v>
      </c>
      <c r="B1204" s="8">
        <v>84.973782771536008</v>
      </c>
      <c r="E1204" s="8">
        <v>84.7</v>
      </c>
      <c r="F1204" s="10">
        <f>AVERAGE($E$1098:E1204)</f>
        <v>84.485981308411183</v>
      </c>
      <c r="I1204" s="11">
        <v>2073</v>
      </c>
      <c r="J1204" s="11">
        <v>-2000</v>
      </c>
      <c r="K1204" s="11">
        <v>-1270</v>
      </c>
      <c r="L1204" s="11">
        <f t="shared" si="26"/>
        <v>-3270</v>
      </c>
      <c r="M1204" s="11">
        <f t="shared" si="27"/>
        <v>-1197</v>
      </c>
    </row>
    <row r="1205" spans="1:13">
      <c r="A1205" s="7">
        <v>45034</v>
      </c>
      <c r="B1205" s="8">
        <v>84.907116104869345</v>
      </c>
      <c r="E1205" s="8">
        <v>85.3</v>
      </c>
      <c r="F1205" s="10">
        <f>AVERAGE($E$1098:E1205)</f>
        <v>84.493518518518485</v>
      </c>
      <c r="I1205" s="11">
        <v>3586</v>
      </c>
      <c r="J1205" s="11">
        <v>-2000</v>
      </c>
      <c r="K1205" s="11">
        <v>-2595</v>
      </c>
      <c r="L1205" s="11">
        <f t="shared" si="26"/>
        <v>-4595</v>
      </c>
      <c r="M1205" s="11">
        <f t="shared" si="27"/>
        <v>-1009</v>
      </c>
    </row>
    <row r="1206" spans="1:13">
      <c r="A1206" s="7">
        <v>45035</v>
      </c>
      <c r="B1206" s="8">
        <v>84.840449438202683</v>
      </c>
      <c r="E1206" s="8">
        <v>84.7</v>
      </c>
      <c r="F1206" s="10">
        <f>AVERAGE($E$1098:E1206)</f>
        <v>84.495412844036665</v>
      </c>
      <c r="I1206" s="11">
        <v>3226</v>
      </c>
      <c r="J1206" s="11">
        <v>-2000</v>
      </c>
      <c r="K1206" s="11">
        <v>-814</v>
      </c>
      <c r="L1206" s="11">
        <f t="shared" si="26"/>
        <v>-2814</v>
      </c>
      <c r="M1206" s="11">
        <f t="shared" si="27"/>
        <v>412</v>
      </c>
    </row>
    <row r="1207" spans="1:13">
      <c r="A1207" s="7">
        <v>45036</v>
      </c>
      <c r="B1207" s="8">
        <v>84.77378277153602</v>
      </c>
      <c r="E1207" s="8">
        <v>86.3</v>
      </c>
      <c r="F1207" s="10">
        <f>AVERAGE($E$1098:E1207)</f>
        <v>84.511818181818143</v>
      </c>
      <c r="I1207" s="11">
        <v>2599</v>
      </c>
      <c r="J1207" s="11">
        <v>-2000</v>
      </c>
      <c r="K1207" s="11">
        <v>-1093</v>
      </c>
      <c r="L1207" s="11">
        <f t="shared" si="26"/>
        <v>-3093</v>
      </c>
      <c r="M1207" s="11">
        <f t="shared" si="27"/>
        <v>-494</v>
      </c>
    </row>
    <row r="1208" spans="1:13">
      <c r="A1208" s="7">
        <v>45037</v>
      </c>
      <c r="B1208" s="8">
        <v>84.707116104869357</v>
      </c>
      <c r="E1208" s="8">
        <v>84.4</v>
      </c>
      <c r="F1208" s="10">
        <f>AVERAGE($E$1098:E1208)</f>
        <v>84.510810810810767</v>
      </c>
      <c r="I1208" s="11">
        <v>2014</v>
      </c>
      <c r="J1208" s="11">
        <v>-2000</v>
      </c>
      <c r="K1208" s="11">
        <v>-582</v>
      </c>
      <c r="L1208" s="11">
        <f t="shared" si="26"/>
        <v>-2582</v>
      </c>
      <c r="M1208" s="11">
        <f t="shared" si="27"/>
        <v>-568</v>
      </c>
    </row>
    <row r="1209" spans="1:13">
      <c r="A1209" s="7">
        <v>45038</v>
      </c>
      <c r="B1209" s="8">
        <v>84.640449438202694</v>
      </c>
      <c r="E1209" s="8">
        <v>84.3</v>
      </c>
      <c r="F1209" s="10">
        <f>AVERAGE($E$1098:E1209)</f>
        <v>84.508928571428527</v>
      </c>
      <c r="I1209" s="11">
        <v>3000</v>
      </c>
      <c r="J1209" s="11">
        <v>-2000</v>
      </c>
      <c r="K1209" s="11">
        <v>-2855</v>
      </c>
      <c r="L1209" s="11">
        <f t="shared" si="26"/>
        <v>-4855</v>
      </c>
      <c r="M1209" s="11">
        <f t="shared" si="27"/>
        <v>-1855</v>
      </c>
    </row>
    <row r="1210" spans="1:13">
      <c r="A1210" s="7">
        <v>45039</v>
      </c>
      <c r="B1210" s="8">
        <v>84.573782771536031</v>
      </c>
      <c r="E1210" s="8">
        <v>85.2</v>
      </c>
      <c r="F1210" s="10">
        <f>AVERAGE($E$1098:E1210)</f>
        <v>84.515044247787571</v>
      </c>
      <c r="I1210" s="11">
        <v>3000</v>
      </c>
      <c r="J1210" s="11">
        <v>-2000</v>
      </c>
      <c r="K1210" s="11">
        <v>-3413</v>
      </c>
      <c r="L1210" s="11">
        <f t="shared" si="26"/>
        <v>-5413</v>
      </c>
      <c r="M1210" s="11">
        <f t="shared" si="27"/>
        <v>-2413</v>
      </c>
    </row>
    <row r="1211" spans="1:13">
      <c r="A1211" s="7">
        <v>45040</v>
      </c>
      <c r="B1211" s="8">
        <v>84.507116104869368</v>
      </c>
      <c r="E1211" s="8">
        <v>86.2</v>
      </c>
      <c r="F1211" s="10">
        <f>AVERAGE($E$1098:E1211)</f>
        <v>84.529824561403473</v>
      </c>
      <c r="I1211" s="11">
        <v>1999</v>
      </c>
      <c r="J1211" s="11">
        <v>-2000</v>
      </c>
      <c r="K1211" s="11">
        <v>-612</v>
      </c>
      <c r="L1211" s="11">
        <f t="shared" si="26"/>
        <v>-2612</v>
      </c>
      <c r="M1211" s="11">
        <f t="shared" si="27"/>
        <v>-613</v>
      </c>
    </row>
    <row r="1212" spans="1:13">
      <c r="A1212" s="7">
        <v>45041</v>
      </c>
      <c r="B1212" s="8">
        <v>84.440449438202705</v>
      </c>
      <c r="E1212" s="8">
        <v>85.3</v>
      </c>
      <c r="F1212" s="10">
        <f>AVERAGE($E$1098:E1212)</f>
        <v>84.536521739130393</v>
      </c>
      <c r="I1212" s="11">
        <v>3255</v>
      </c>
      <c r="J1212" s="11">
        <v>-2000</v>
      </c>
      <c r="K1212" s="11">
        <v>-738</v>
      </c>
      <c r="L1212" s="11">
        <f t="shared" si="26"/>
        <v>-2738</v>
      </c>
      <c r="M1212" s="11">
        <f t="shared" si="27"/>
        <v>517</v>
      </c>
    </row>
    <row r="1213" spans="1:13">
      <c r="A1213" s="7">
        <v>45042</v>
      </c>
      <c r="B1213" s="8">
        <v>84.373782771536042</v>
      </c>
      <c r="E1213" s="8">
        <v>86.4</v>
      </c>
      <c r="F1213" s="10">
        <f>AVERAGE($E$1098:E1213)</f>
        <v>84.552586206896507</v>
      </c>
      <c r="I1213" s="11">
        <v>1964</v>
      </c>
      <c r="J1213" s="11">
        <v>-2000</v>
      </c>
      <c r="K1213" s="11">
        <v>-466</v>
      </c>
      <c r="L1213" s="11">
        <f t="shared" si="26"/>
        <v>-2466</v>
      </c>
      <c r="M1213" s="11">
        <f t="shared" si="27"/>
        <v>-502</v>
      </c>
    </row>
    <row r="1214" spans="1:13">
      <c r="A1214" s="7">
        <v>45043</v>
      </c>
      <c r="B1214" s="8">
        <v>84.30711610486938</v>
      </c>
      <c r="E1214" s="8">
        <v>86.2</v>
      </c>
      <c r="F1214" s="10">
        <f>AVERAGE($E$1098:E1214)</f>
        <v>84.566666666666634</v>
      </c>
      <c r="I1214" s="11">
        <v>2207</v>
      </c>
      <c r="J1214" s="11">
        <v>-2000</v>
      </c>
      <c r="K1214" s="11">
        <v>-953</v>
      </c>
      <c r="L1214" s="11">
        <f t="shared" si="26"/>
        <v>-2953</v>
      </c>
      <c r="M1214" s="11">
        <f t="shared" si="27"/>
        <v>-746</v>
      </c>
    </row>
    <row r="1215" spans="1:13">
      <c r="A1215" s="7">
        <v>45044</v>
      </c>
      <c r="B1215" s="8">
        <v>84.240449438202717</v>
      </c>
      <c r="E1215" s="8">
        <v>86</v>
      </c>
      <c r="F1215" s="10">
        <f>AVERAGE($E$1098:E1215)</f>
        <v>84.578813559322001</v>
      </c>
      <c r="I1215" s="11">
        <v>2195</v>
      </c>
      <c r="J1215" s="11">
        <v>-2000</v>
      </c>
      <c r="K1215" s="11">
        <v>-634</v>
      </c>
      <c r="L1215" s="11">
        <f t="shared" si="26"/>
        <v>-2634</v>
      </c>
      <c r="M1215" s="11">
        <f t="shared" si="27"/>
        <v>-439</v>
      </c>
    </row>
    <row r="1216" spans="1:13">
      <c r="A1216" s="7">
        <v>45045</v>
      </c>
      <c r="B1216" s="8">
        <v>84.173782771536054</v>
      </c>
      <c r="E1216" s="8">
        <f>E1215+0.4</f>
        <v>86.4</v>
      </c>
      <c r="F1216" s="10">
        <f>AVERAGE($E$1098:E1216)</f>
        <v>84.594117647058781</v>
      </c>
      <c r="I1216" s="11">
        <v>4000</v>
      </c>
      <c r="J1216" s="11">
        <v>-2000</v>
      </c>
      <c r="K1216" s="11">
        <v>-634</v>
      </c>
      <c r="L1216" s="11">
        <f t="shared" si="26"/>
        <v>-2634</v>
      </c>
      <c r="M1216" s="11">
        <f t="shared" si="27"/>
        <v>1366</v>
      </c>
    </row>
    <row r="1217" spans="1:13">
      <c r="A1217" s="7">
        <v>45046</v>
      </c>
      <c r="B1217" s="8">
        <v>84.107116104869391</v>
      </c>
      <c r="E1217" s="8">
        <f>E1216+0.4</f>
        <v>86.800000000000011</v>
      </c>
      <c r="F1217" s="10">
        <f>AVERAGE($E$1098:E1217)</f>
        <v>84.612499999999955</v>
      </c>
      <c r="I1217" s="11">
        <v>4000</v>
      </c>
      <c r="J1217" s="11">
        <v>-2000</v>
      </c>
      <c r="K1217" s="11">
        <v>-986</v>
      </c>
      <c r="L1217" s="11">
        <f t="shared" si="26"/>
        <v>-2986</v>
      </c>
      <c r="M1217" s="11">
        <f t="shared" si="27"/>
        <v>1014</v>
      </c>
    </row>
    <row r="1218" spans="1:13">
      <c r="A1218" s="7">
        <v>45047</v>
      </c>
      <c r="B1218" s="8">
        <v>86.040449438202728</v>
      </c>
      <c r="E1218" s="8">
        <f>E1217+0.4</f>
        <v>87.200000000000017</v>
      </c>
      <c r="F1218" s="10">
        <f>AVERAGE($E$1098:E1218)</f>
        <v>84.633884297520623</v>
      </c>
      <c r="I1218" s="11">
        <v>4000</v>
      </c>
      <c r="J1218" s="11">
        <v>-2000</v>
      </c>
      <c r="K1218" s="11">
        <v>-660</v>
      </c>
      <c r="L1218" s="11">
        <f t="shared" si="26"/>
        <v>-2660</v>
      </c>
      <c r="M1218" s="11">
        <f t="shared" si="27"/>
        <v>1340</v>
      </c>
    </row>
    <row r="1219" spans="1:13">
      <c r="A1219" s="7">
        <v>45048</v>
      </c>
      <c r="B1219" s="8">
        <v>85.973782771536065</v>
      </c>
      <c r="E1219" s="8">
        <f>E1218+0.4</f>
        <v>87.600000000000023</v>
      </c>
      <c r="F1219" s="10">
        <f>AVERAGE($E$1098:E1219)</f>
        <v>84.658196721311441</v>
      </c>
      <c r="I1219" s="11">
        <v>4000</v>
      </c>
      <c r="J1219" s="11">
        <v>-2000</v>
      </c>
      <c r="K1219" s="11">
        <v>-805</v>
      </c>
      <c r="L1219" s="11">
        <f t="shared" si="26"/>
        <v>-2805</v>
      </c>
      <c r="M1219" s="11">
        <f t="shared" si="27"/>
        <v>1195</v>
      </c>
    </row>
    <row r="1220" spans="1:13">
      <c r="A1220" s="7">
        <v>45049</v>
      </c>
      <c r="B1220" s="8">
        <v>85.907116104869402</v>
      </c>
      <c r="E1220" s="8">
        <f>E1219+0.4</f>
        <v>88.000000000000028</v>
      </c>
      <c r="F1220" s="10">
        <f>AVERAGE($E$1098:E1220)</f>
        <v>84.685365853658496</v>
      </c>
      <c r="I1220" s="11">
        <v>4000</v>
      </c>
      <c r="J1220" s="11">
        <v>-2000</v>
      </c>
      <c r="K1220" s="11">
        <v>-1128</v>
      </c>
      <c r="L1220" s="11">
        <f t="shared" si="26"/>
        <v>-3128</v>
      </c>
      <c r="M1220" s="11">
        <f t="shared" si="27"/>
        <v>872</v>
      </c>
    </row>
    <row r="1221" spans="1:13">
      <c r="A1221" s="7">
        <v>45050</v>
      </c>
      <c r="B1221" s="8">
        <v>85.840449438202739</v>
      </c>
      <c r="E1221" s="8">
        <v>88.2</v>
      </c>
      <c r="F1221" s="10">
        <f>AVERAGE($E$1098:E1221)</f>
        <v>84.713709677419331</v>
      </c>
      <c r="I1221" s="11">
        <v>4000</v>
      </c>
      <c r="J1221" s="11">
        <v>-2000</v>
      </c>
      <c r="K1221" s="11">
        <v>-1378</v>
      </c>
      <c r="L1221" s="11">
        <f t="shared" si="26"/>
        <v>-3378</v>
      </c>
      <c r="M1221" s="11">
        <f t="shared" si="27"/>
        <v>622</v>
      </c>
    </row>
    <row r="1222" spans="1:13">
      <c r="A1222" s="7">
        <v>45051</v>
      </c>
      <c r="B1222" s="8">
        <v>85.773782771536077</v>
      </c>
      <c r="E1222" s="8">
        <v>88.3</v>
      </c>
      <c r="F1222" s="10">
        <f>AVERAGE($E$1098:E1222)</f>
        <v>84.742399999999961</v>
      </c>
      <c r="I1222" s="11">
        <v>4000</v>
      </c>
      <c r="J1222" s="11">
        <v>-2000</v>
      </c>
      <c r="K1222" s="11">
        <v>-1325</v>
      </c>
      <c r="L1222" s="11">
        <f t="shared" si="26"/>
        <v>-3325</v>
      </c>
      <c r="M1222" s="11">
        <f t="shared" si="27"/>
        <v>675</v>
      </c>
    </row>
    <row r="1223" spans="1:13">
      <c r="A1223" s="7">
        <v>45052</v>
      </c>
      <c r="B1223" s="8">
        <v>85.707116104869414</v>
      </c>
      <c r="E1223" s="8">
        <v>88.3</v>
      </c>
      <c r="F1223" s="10">
        <f>AVERAGE($E$1098:E1223)</f>
        <v>84.770634920634876</v>
      </c>
      <c r="I1223" s="11">
        <v>4000</v>
      </c>
      <c r="J1223" s="11">
        <v>-2000</v>
      </c>
      <c r="K1223" s="11">
        <v>-337</v>
      </c>
      <c r="L1223" s="11">
        <f t="shared" si="26"/>
        <v>-2337</v>
      </c>
      <c r="M1223" s="11">
        <f t="shared" si="27"/>
        <v>1663</v>
      </c>
    </row>
    <row r="1224" spans="1:13">
      <c r="A1224" s="7">
        <v>45053</v>
      </c>
      <c r="B1224" s="8">
        <v>85.640449438202751</v>
      </c>
      <c r="E1224" s="8">
        <v>88.6</v>
      </c>
      <c r="F1224" s="10">
        <f>AVERAGE($E$1098:E1224)</f>
        <v>84.800787401574766</v>
      </c>
      <c r="I1224" s="11">
        <v>2500</v>
      </c>
      <c r="J1224" s="11">
        <v>-2000</v>
      </c>
      <c r="K1224" s="11">
        <v>-345</v>
      </c>
      <c r="L1224" s="11">
        <f t="shared" si="26"/>
        <v>-2345</v>
      </c>
      <c r="M1224" s="11">
        <f t="shared" si="27"/>
        <v>155</v>
      </c>
    </row>
    <row r="1225" spans="1:13">
      <c r="A1225" s="7">
        <v>45054</v>
      </c>
      <c r="B1225" s="8">
        <v>85.573782771536088</v>
      </c>
      <c r="E1225" s="8">
        <v>88.8</v>
      </c>
      <c r="F1225" s="10">
        <f>AVERAGE($E$1098:E1225)</f>
        <v>84.832031249999957</v>
      </c>
      <c r="I1225" s="11">
        <v>2113</v>
      </c>
      <c r="J1225" s="11">
        <v>-2000</v>
      </c>
      <c r="K1225" s="11">
        <v>-567</v>
      </c>
      <c r="L1225" s="11">
        <f t="shared" si="26"/>
        <v>-2567</v>
      </c>
      <c r="M1225" s="11">
        <f t="shared" si="27"/>
        <v>-454</v>
      </c>
    </row>
    <row r="1226" spans="1:13">
      <c r="A1226" s="7">
        <v>45055</v>
      </c>
      <c r="B1226" s="8">
        <v>85.507116104869425</v>
      </c>
      <c r="E1226" s="8">
        <v>88.8</v>
      </c>
      <c r="F1226" s="10">
        <f>AVERAGE($E$1098:E1226)</f>
        <v>84.86279069767437</v>
      </c>
      <c r="I1226" s="11">
        <v>2213</v>
      </c>
      <c r="J1226" s="11">
        <v>-2000</v>
      </c>
      <c r="K1226" s="11">
        <v>-937</v>
      </c>
      <c r="L1226" s="11">
        <f t="shared" si="26"/>
        <v>-2937</v>
      </c>
      <c r="M1226" s="11">
        <f t="shared" si="27"/>
        <v>-724</v>
      </c>
    </row>
    <row r="1227" spans="1:13">
      <c r="A1227" s="7">
        <v>45056</v>
      </c>
      <c r="B1227" s="8">
        <v>85.440449438202762</v>
      </c>
      <c r="E1227" s="8">
        <v>88.1</v>
      </c>
      <c r="F1227" s="10">
        <f>AVERAGE($E$1098:E1227)</f>
        <v>84.887692307692262</v>
      </c>
      <c r="I1227" s="11">
        <v>2500</v>
      </c>
      <c r="J1227" s="11">
        <v>-2000</v>
      </c>
      <c r="K1227" s="11">
        <v>-471</v>
      </c>
      <c r="L1227" s="11">
        <f t="shared" si="26"/>
        <v>-2471</v>
      </c>
      <c r="M1227" s="11">
        <f t="shared" si="27"/>
        <v>29</v>
      </c>
    </row>
    <row r="1228" spans="1:13">
      <c r="A1228" s="7">
        <v>45057</v>
      </c>
      <c r="B1228" s="8">
        <v>85.373782771536099</v>
      </c>
      <c r="E1228" s="8">
        <v>87.9</v>
      </c>
      <c r="F1228" s="10">
        <f>AVERAGE($E$1098:E1228)</f>
        <v>84.910687022900717</v>
      </c>
      <c r="I1228" s="11">
        <v>2340</v>
      </c>
      <c r="J1228" s="11">
        <v>-2000</v>
      </c>
      <c r="K1228" s="11">
        <v>-3462</v>
      </c>
      <c r="L1228" s="11">
        <f t="shared" si="26"/>
        <v>-5462</v>
      </c>
      <c r="M1228" s="11">
        <f t="shared" si="27"/>
        <v>-3122</v>
      </c>
    </row>
    <row r="1229" spans="1:13">
      <c r="A1229" s="7">
        <v>45058</v>
      </c>
      <c r="B1229" s="8">
        <v>85.307116104869436</v>
      </c>
      <c r="E1229" s="8">
        <v>85.7</v>
      </c>
      <c r="F1229" s="10">
        <f>AVERAGE($E$1098:E1229)</f>
        <v>84.916666666666629</v>
      </c>
      <c r="I1229" s="11">
        <v>2434</v>
      </c>
      <c r="J1229" s="11">
        <v>-2000</v>
      </c>
      <c r="K1229" s="11">
        <v>-680</v>
      </c>
      <c r="L1229" s="11">
        <f t="shared" si="26"/>
        <v>-2680</v>
      </c>
      <c r="M1229" s="11">
        <f t="shared" si="27"/>
        <v>-246</v>
      </c>
    </row>
    <row r="1230" spans="1:13">
      <c r="A1230" s="7">
        <v>45059</v>
      </c>
      <c r="B1230" s="8">
        <v>85.240449438202774</v>
      </c>
      <c r="E1230" s="8">
        <v>86</v>
      </c>
      <c r="F1230" s="10">
        <f>AVERAGE($E$1098:E1230)</f>
        <v>84.924812030075145</v>
      </c>
      <c r="I1230" s="11">
        <v>2500</v>
      </c>
      <c r="J1230" s="11">
        <v>-2000</v>
      </c>
      <c r="K1230" s="11">
        <v>-726</v>
      </c>
      <c r="L1230" s="11">
        <f t="shared" si="26"/>
        <v>-2726</v>
      </c>
      <c r="M1230" s="11">
        <f t="shared" si="27"/>
        <v>-226</v>
      </c>
    </row>
    <row r="1231" spans="1:13">
      <c r="A1231" s="7">
        <v>45060</v>
      </c>
      <c r="B1231" s="8">
        <v>85.173782771536111</v>
      </c>
      <c r="E1231" s="8">
        <v>86.2</v>
      </c>
      <c r="F1231" s="10">
        <f>AVERAGE($E$1098:E1231)</f>
        <v>84.934328358208916</v>
      </c>
      <c r="I1231" s="11">
        <v>2500</v>
      </c>
      <c r="J1231" s="11">
        <v>-2000</v>
      </c>
      <c r="K1231" s="11">
        <v>-5752</v>
      </c>
      <c r="L1231" s="11">
        <f t="shared" si="26"/>
        <v>-7752</v>
      </c>
      <c r="M1231" s="11">
        <f t="shared" si="27"/>
        <v>-5252</v>
      </c>
    </row>
    <row r="1232" spans="1:13">
      <c r="A1232" s="7">
        <v>45061</v>
      </c>
      <c r="B1232" s="8">
        <v>85.107116104869448</v>
      </c>
      <c r="E1232" s="8">
        <v>86.5</v>
      </c>
      <c r="F1232" s="10">
        <f>AVERAGE($E$1098:E1232)</f>
        <v>84.945925925925891</v>
      </c>
      <c r="I1232" s="11">
        <v>2500</v>
      </c>
      <c r="J1232" s="11">
        <v>-2000</v>
      </c>
      <c r="K1232" s="11">
        <v>-1029</v>
      </c>
      <c r="L1232" s="11">
        <f t="shared" si="26"/>
        <v>-3029</v>
      </c>
      <c r="M1232" s="11">
        <f t="shared" si="27"/>
        <v>-529</v>
      </c>
    </row>
    <row r="1233" spans="1:13">
      <c r="A1233" s="7">
        <v>45062</v>
      </c>
      <c r="B1233" s="8">
        <v>85.040449438202785</v>
      </c>
      <c r="E1233" s="8">
        <v>86.6</v>
      </c>
      <c r="F1233" s="10">
        <f>AVERAGE($E$1098:E1233)</f>
        <v>84.958088235294085</v>
      </c>
      <c r="I1233" s="11">
        <v>2500</v>
      </c>
      <c r="J1233" s="11">
        <v>-2000</v>
      </c>
      <c r="K1233" s="11">
        <v>-566</v>
      </c>
      <c r="L1233" s="11">
        <f t="shared" si="26"/>
        <v>-2566</v>
      </c>
      <c r="M1233" s="11">
        <f t="shared" si="27"/>
        <v>-66</v>
      </c>
    </row>
    <row r="1234" spans="1:13">
      <c r="A1234" s="7">
        <v>45063</v>
      </c>
      <c r="B1234" s="8">
        <v>84.973782771536122</v>
      </c>
      <c r="E1234" s="8">
        <v>86.6</v>
      </c>
      <c r="F1234" s="10">
        <f>AVERAGE($E$1098:E1234)</f>
        <v>84.970072992700707</v>
      </c>
      <c r="I1234" s="11">
        <v>2500</v>
      </c>
      <c r="J1234" s="11">
        <v>-2000</v>
      </c>
      <c r="K1234" s="11">
        <v>-1196</v>
      </c>
      <c r="L1234" s="11">
        <f t="shared" si="26"/>
        <v>-3196</v>
      </c>
      <c r="M1234" s="11">
        <f t="shared" si="27"/>
        <v>-696</v>
      </c>
    </row>
    <row r="1235" spans="1:13">
      <c r="A1235" s="7">
        <v>45064</v>
      </c>
      <c r="B1235" s="8">
        <v>84.907116104869459</v>
      </c>
      <c r="E1235" s="8">
        <v>86.7</v>
      </c>
      <c r="F1235" s="10">
        <f>AVERAGE($E$1098:E1235)</f>
        <v>84.982608695652146</v>
      </c>
      <c r="I1235" s="11">
        <v>3313</v>
      </c>
      <c r="J1235" s="11">
        <v>-2000</v>
      </c>
      <c r="K1235" s="11">
        <v>-864</v>
      </c>
      <c r="L1235" s="11">
        <f t="shared" si="26"/>
        <v>-2864</v>
      </c>
      <c r="M1235" s="11">
        <f t="shared" si="27"/>
        <v>449</v>
      </c>
    </row>
    <row r="1236" spans="1:13">
      <c r="A1236" s="7">
        <v>45065</v>
      </c>
      <c r="B1236" s="8">
        <v>84.840449438202796</v>
      </c>
      <c r="E1236" s="8">
        <v>86.5</v>
      </c>
      <c r="F1236" s="10">
        <f>AVERAGE($E$1098:E1236)</f>
        <v>84.993525179856093</v>
      </c>
      <c r="I1236" s="11">
        <v>2902</v>
      </c>
      <c r="J1236" s="11">
        <v>-2000</v>
      </c>
      <c r="K1236" s="11">
        <v>-1153</v>
      </c>
      <c r="L1236" s="11">
        <f t="shared" si="26"/>
        <v>-3153</v>
      </c>
      <c r="M1236" s="11">
        <f t="shared" si="27"/>
        <v>-251</v>
      </c>
    </row>
    <row r="1237" spans="1:13">
      <c r="A1237" s="7">
        <v>45066</v>
      </c>
      <c r="B1237" s="8">
        <v>84.773782771536133</v>
      </c>
      <c r="E1237" s="8">
        <v>87.4</v>
      </c>
      <c r="F1237" s="10">
        <f>AVERAGE($E$1098:E1237)</f>
        <v>85.010714285714258</v>
      </c>
      <c r="I1237" s="11">
        <v>2500</v>
      </c>
      <c r="J1237" s="11">
        <v>-2000</v>
      </c>
      <c r="K1237" s="11">
        <v>-3434</v>
      </c>
      <c r="L1237" s="11">
        <f t="shared" si="26"/>
        <v>-5434</v>
      </c>
      <c r="M1237" s="11">
        <f t="shared" si="27"/>
        <v>-2934</v>
      </c>
    </row>
    <row r="1238" spans="1:13">
      <c r="A1238" s="7">
        <v>45067</v>
      </c>
      <c r="B1238" s="8">
        <v>84.707116104869471</v>
      </c>
      <c r="E1238" s="8">
        <v>86.5</v>
      </c>
      <c r="F1238" s="10">
        <f>AVERAGE($E$1098:E1238)</f>
        <v>85.021276595744652</v>
      </c>
      <c r="I1238" s="11">
        <v>2500</v>
      </c>
      <c r="J1238" s="11">
        <v>-2000</v>
      </c>
      <c r="K1238" s="11">
        <v>-840</v>
      </c>
      <c r="L1238" s="11">
        <f t="shared" si="26"/>
        <v>-2840</v>
      </c>
      <c r="M1238" s="11">
        <f t="shared" si="27"/>
        <v>-340</v>
      </c>
    </row>
    <row r="1239" spans="1:13">
      <c r="A1239" s="7">
        <v>45068</v>
      </c>
      <c r="B1239" s="8">
        <v>84.640449438202808</v>
      </c>
      <c r="E1239" s="8">
        <v>87.2</v>
      </c>
      <c r="F1239" s="10">
        <f>AVERAGE($E$1098:E1239)</f>
        <v>85.036619718309836</v>
      </c>
      <c r="I1239" s="11">
        <v>2061</v>
      </c>
      <c r="J1239" s="11">
        <v>-2000</v>
      </c>
      <c r="K1239" s="11">
        <v>-1510</v>
      </c>
      <c r="L1239" s="11">
        <f t="shared" si="26"/>
        <v>-3510</v>
      </c>
      <c r="M1239" s="11">
        <f t="shared" si="27"/>
        <v>-1449</v>
      </c>
    </row>
    <row r="1240" spans="1:13">
      <c r="A1240" s="7">
        <v>45069</v>
      </c>
      <c r="B1240" s="8">
        <v>84.573782771536145</v>
      </c>
      <c r="E1240" s="8">
        <v>85.1</v>
      </c>
      <c r="F1240" s="10">
        <f>AVERAGE($E$1098:E1240)</f>
        <v>85.037062937062913</v>
      </c>
      <c r="I1240" s="11">
        <v>2447</v>
      </c>
      <c r="J1240" s="11">
        <v>-2000</v>
      </c>
      <c r="K1240" s="11">
        <v>-1387</v>
      </c>
      <c r="L1240" s="11">
        <f t="shared" si="26"/>
        <v>-3387</v>
      </c>
      <c r="M1240" s="11">
        <f t="shared" si="27"/>
        <v>-940</v>
      </c>
    </row>
    <row r="1241" spans="1:13">
      <c r="A1241" s="7">
        <v>45070</v>
      </c>
      <c r="B1241" s="8">
        <v>84.507116104869482</v>
      </c>
      <c r="E1241" s="8">
        <v>85.8</v>
      </c>
      <c r="F1241" s="10">
        <f>AVERAGE($E$1098:E1241)</f>
        <v>85.042361111111092</v>
      </c>
      <c r="I1241" s="11">
        <v>2500</v>
      </c>
      <c r="J1241" s="11">
        <v>-2000</v>
      </c>
      <c r="K1241" s="11">
        <v>-1318</v>
      </c>
      <c r="L1241" s="11">
        <f t="shared" si="26"/>
        <v>-3318</v>
      </c>
      <c r="M1241" s="11">
        <f t="shared" si="27"/>
        <v>-818</v>
      </c>
    </row>
    <row r="1242" spans="1:13">
      <c r="A1242" s="7">
        <v>45071</v>
      </c>
      <c r="B1242" s="8">
        <v>84.440449438202819</v>
      </c>
      <c r="E1242" s="8">
        <v>86.3</v>
      </c>
      <c r="F1242" s="10">
        <f>AVERAGE($E$1098:E1242)</f>
        <v>85.051034482758595</v>
      </c>
      <c r="I1242" s="11">
        <v>2500</v>
      </c>
      <c r="J1242" s="11">
        <v>-2000</v>
      </c>
      <c r="K1242" s="11">
        <v>-549</v>
      </c>
      <c r="L1242" s="11">
        <f t="shared" si="26"/>
        <v>-2549</v>
      </c>
      <c r="M1242" s="11">
        <f t="shared" si="27"/>
        <v>-49</v>
      </c>
    </row>
    <row r="1243" spans="1:13">
      <c r="A1243" s="7">
        <v>45072</v>
      </c>
      <c r="B1243" s="8">
        <v>84.373782771536156</v>
      </c>
      <c r="E1243" s="8">
        <v>86</v>
      </c>
      <c r="F1243" s="10">
        <f>AVERAGE($E$1098:E1243)</f>
        <v>85.057534246575315</v>
      </c>
      <c r="I1243" s="11">
        <v>2500</v>
      </c>
      <c r="J1243" s="11">
        <v>-2000</v>
      </c>
      <c r="K1243" s="11">
        <v>-743</v>
      </c>
      <c r="L1243" s="11">
        <f t="shared" si="26"/>
        <v>-2743</v>
      </c>
      <c r="M1243" s="11">
        <f t="shared" si="27"/>
        <v>-243</v>
      </c>
    </row>
    <row r="1244" spans="1:13">
      <c r="A1244" s="7">
        <v>45073</v>
      </c>
      <c r="B1244" s="8">
        <v>84.307116104869493</v>
      </c>
      <c r="E1244" s="8">
        <v>86</v>
      </c>
      <c r="F1244" s="10">
        <f>AVERAGE($E$1098:E1244)</f>
        <v>85.063945578231269</v>
      </c>
      <c r="I1244" s="11">
        <v>4000</v>
      </c>
      <c r="J1244" s="11">
        <v>-2000</v>
      </c>
      <c r="K1244" s="11">
        <v>-7172</v>
      </c>
      <c r="L1244" s="11">
        <f t="shared" si="26"/>
        <v>-9172</v>
      </c>
      <c r="M1244" s="11">
        <f t="shared" si="27"/>
        <v>-5172</v>
      </c>
    </row>
    <row r="1245" spans="1:13">
      <c r="A1245" s="7">
        <v>45074</v>
      </c>
      <c r="B1245" s="8">
        <v>84.24044943820283</v>
      </c>
      <c r="E1245" s="8">
        <v>84.5</v>
      </c>
      <c r="F1245" s="10">
        <f>AVERAGE($E$1098:E1245)</f>
        <v>85.060135135135113</v>
      </c>
      <c r="I1245" s="11">
        <v>3000</v>
      </c>
      <c r="J1245" s="11">
        <v>-2000</v>
      </c>
      <c r="K1245" s="11">
        <v>-596</v>
      </c>
      <c r="L1245" s="11">
        <f t="shared" si="26"/>
        <v>-2596</v>
      </c>
      <c r="M1245" s="11">
        <f t="shared" si="27"/>
        <v>404</v>
      </c>
    </row>
    <row r="1246" spans="1:13">
      <c r="A1246" s="7">
        <v>45075</v>
      </c>
      <c r="B1246" s="8">
        <v>84.173782771536168</v>
      </c>
      <c r="E1246" s="8">
        <v>86.3</v>
      </c>
      <c r="F1246" s="10">
        <f>AVERAGE($E$1098:E1246)</f>
        <v>85.068456375838892</v>
      </c>
      <c r="I1246" s="11">
        <v>3000</v>
      </c>
      <c r="J1246" s="11">
        <v>-2000</v>
      </c>
      <c r="K1246" s="11">
        <v>-1427</v>
      </c>
      <c r="L1246" s="11">
        <f t="shared" ref="L1246:L1309" si="28">SUM(J1246:K1246)</f>
        <v>-3427</v>
      </c>
      <c r="M1246" s="11">
        <f t="shared" ref="M1246:M1309" si="29">I1246+J1246+K1246</f>
        <v>-427</v>
      </c>
    </row>
    <row r="1247" spans="1:13">
      <c r="A1247" s="7">
        <v>45076</v>
      </c>
      <c r="B1247" s="8">
        <v>84.107116104869505</v>
      </c>
      <c r="E1247" s="8">
        <v>86.2</v>
      </c>
      <c r="F1247" s="10">
        <f>AVERAGE($E$1098:E1247)</f>
        <v>85.075999999999979</v>
      </c>
      <c r="I1247" s="11">
        <v>3000</v>
      </c>
      <c r="J1247" s="11">
        <v>-2000</v>
      </c>
      <c r="K1247" s="11">
        <v>-1251</v>
      </c>
      <c r="L1247" s="11">
        <f t="shared" si="28"/>
        <v>-3251</v>
      </c>
      <c r="M1247" s="11">
        <f t="shared" si="29"/>
        <v>-251</v>
      </c>
    </row>
    <row r="1248" spans="1:13">
      <c r="A1248" s="7">
        <v>45077</v>
      </c>
      <c r="B1248" s="8">
        <v>84.040449438202842</v>
      </c>
      <c r="E1248" s="8">
        <v>86</v>
      </c>
      <c r="F1248" s="10">
        <f>AVERAGE($E$1098:E1248)</f>
        <v>85.082119205297985</v>
      </c>
      <c r="I1248" s="11">
        <v>3000</v>
      </c>
      <c r="J1248" s="11">
        <v>-2000</v>
      </c>
      <c r="K1248" s="11">
        <v>-789</v>
      </c>
      <c r="L1248" s="11">
        <f t="shared" si="28"/>
        <v>-2789</v>
      </c>
      <c r="M1248" s="11">
        <f t="shared" si="29"/>
        <v>211</v>
      </c>
    </row>
    <row r="1249" spans="1:13">
      <c r="A1249" s="7">
        <v>45078</v>
      </c>
      <c r="B1249" s="8">
        <v>85.973782771536179</v>
      </c>
      <c r="E1249" s="8">
        <v>85.9</v>
      </c>
      <c r="F1249" s="10">
        <f>AVERAGE($E$1098:E1249)</f>
        <v>85.087499999999977</v>
      </c>
      <c r="I1249" s="11">
        <v>3000</v>
      </c>
      <c r="J1249" s="11">
        <v>-2000</v>
      </c>
      <c r="K1249" s="11">
        <v>-107</v>
      </c>
      <c r="L1249" s="11">
        <f t="shared" si="28"/>
        <v>-2107</v>
      </c>
      <c r="M1249" s="11">
        <f t="shared" si="29"/>
        <v>893</v>
      </c>
    </row>
    <row r="1250" spans="1:13">
      <c r="A1250" s="7">
        <v>45079</v>
      </c>
      <c r="B1250" s="8">
        <v>85.907116104869516</v>
      </c>
      <c r="E1250" s="8">
        <v>85.1</v>
      </c>
      <c r="F1250" s="10">
        <f>AVERAGE($E$1098:E1250)</f>
        <v>85.087581699346373</v>
      </c>
      <c r="I1250" s="11">
        <v>3000</v>
      </c>
      <c r="J1250" s="11">
        <v>-2000</v>
      </c>
      <c r="K1250" s="11">
        <v>-674</v>
      </c>
      <c r="L1250" s="11">
        <f t="shared" si="28"/>
        <v>-2674</v>
      </c>
      <c r="M1250" s="11">
        <f t="shared" si="29"/>
        <v>326</v>
      </c>
    </row>
    <row r="1251" spans="1:13">
      <c r="A1251" s="7">
        <v>45080</v>
      </c>
      <c r="B1251" s="8">
        <v>85.840449438202853</v>
      </c>
      <c r="E1251" s="8">
        <v>85.7</v>
      </c>
      <c r="F1251" s="10">
        <f>AVERAGE($E$1098:E1251)</f>
        <v>85.091558441558419</v>
      </c>
      <c r="I1251" s="11">
        <v>3000</v>
      </c>
      <c r="J1251" s="11">
        <v>-2000</v>
      </c>
      <c r="K1251" s="11">
        <v>-829</v>
      </c>
      <c r="L1251" s="11">
        <f t="shared" si="28"/>
        <v>-2829</v>
      </c>
      <c r="M1251" s="11">
        <f t="shared" si="29"/>
        <v>171</v>
      </c>
    </row>
    <row r="1252" spans="1:13">
      <c r="A1252" s="7">
        <v>45081</v>
      </c>
      <c r="B1252" s="8">
        <v>85.77378277153619</v>
      </c>
      <c r="E1252" s="8">
        <v>85.8</v>
      </c>
      <c r="F1252" s="10">
        <f>AVERAGE($E$1098:E1252)</f>
        <v>85.096129032258034</v>
      </c>
      <c r="I1252" s="11">
        <v>7000</v>
      </c>
      <c r="J1252" s="11">
        <v>-2000</v>
      </c>
      <c r="K1252" s="11">
        <v>-6369</v>
      </c>
      <c r="L1252" s="11">
        <f t="shared" si="28"/>
        <v>-8369</v>
      </c>
      <c r="M1252" s="11">
        <f t="shared" si="29"/>
        <v>-1369</v>
      </c>
    </row>
    <row r="1253" spans="1:13">
      <c r="A1253" s="7">
        <v>45082</v>
      </c>
      <c r="B1253" s="8">
        <v>85.707116104869527</v>
      </c>
      <c r="E1253" s="8">
        <v>85</v>
      </c>
      <c r="F1253" s="10">
        <f>AVERAGE($E$1098:E1253)</f>
        <v>85.095512820512795</v>
      </c>
      <c r="I1253" s="11">
        <v>3000</v>
      </c>
      <c r="J1253" s="11">
        <v>-2000</v>
      </c>
      <c r="K1253" s="11">
        <v>-602</v>
      </c>
      <c r="L1253" s="11">
        <f t="shared" si="28"/>
        <v>-2602</v>
      </c>
      <c r="M1253" s="11">
        <f t="shared" si="29"/>
        <v>398</v>
      </c>
    </row>
    <row r="1254" spans="1:13">
      <c r="A1254" s="7">
        <v>45083</v>
      </c>
      <c r="B1254" s="8">
        <v>85.640449438202864</v>
      </c>
      <c r="E1254" s="8">
        <v>85.6</v>
      </c>
      <c r="F1254" s="10">
        <f>AVERAGE($E$1098:E1254)</f>
        <v>85.098726114649665</v>
      </c>
      <c r="I1254" s="11">
        <v>3000</v>
      </c>
      <c r="J1254" s="11">
        <v>-2000</v>
      </c>
      <c r="K1254" s="11">
        <v>-539</v>
      </c>
      <c r="L1254" s="11">
        <f t="shared" si="28"/>
        <v>-2539</v>
      </c>
      <c r="M1254" s="11">
        <f t="shared" si="29"/>
        <v>461</v>
      </c>
    </row>
    <row r="1255" spans="1:13">
      <c r="A1255" s="7">
        <v>45084</v>
      </c>
      <c r="B1255" s="8">
        <v>85.573782771536202</v>
      </c>
      <c r="E1255" s="8">
        <v>86.2</v>
      </c>
      <c r="F1255" s="10">
        <f>AVERAGE($E$1098:E1255)</f>
        <v>85.105696202531632</v>
      </c>
      <c r="I1255" s="11">
        <v>3000</v>
      </c>
      <c r="J1255" s="11">
        <v>-2000</v>
      </c>
      <c r="K1255" s="11">
        <v>-1351</v>
      </c>
      <c r="L1255" s="11">
        <f t="shared" si="28"/>
        <v>-3351</v>
      </c>
      <c r="M1255" s="11">
        <f t="shared" si="29"/>
        <v>-351</v>
      </c>
    </row>
    <row r="1256" spans="1:13">
      <c r="A1256" s="7">
        <v>45085</v>
      </c>
      <c r="B1256" s="8">
        <v>85.507116104869539</v>
      </c>
      <c r="E1256" s="8">
        <v>85.3</v>
      </c>
      <c r="F1256" s="10">
        <f>AVERAGE($E$1098:E1256)</f>
        <v>85.106918238993686</v>
      </c>
      <c r="I1256" s="11">
        <v>5000</v>
      </c>
      <c r="J1256" s="11">
        <v>-2000</v>
      </c>
      <c r="K1256" s="11">
        <v>-4017</v>
      </c>
      <c r="L1256" s="11">
        <f t="shared" si="28"/>
        <v>-6017</v>
      </c>
      <c r="M1256" s="11">
        <f t="shared" si="29"/>
        <v>-1017</v>
      </c>
    </row>
    <row r="1257" spans="1:13">
      <c r="A1257" s="7">
        <v>45086</v>
      </c>
      <c r="B1257" s="8">
        <v>85.440449438202876</v>
      </c>
      <c r="E1257" s="8">
        <f>(E1256+E1258)/2</f>
        <v>84.55</v>
      </c>
      <c r="F1257" s="10">
        <f>AVERAGE($E$1098:E1257)</f>
        <v>85.10343749999997</v>
      </c>
      <c r="I1257" s="11">
        <v>3000</v>
      </c>
      <c r="J1257" s="11">
        <v>-2000</v>
      </c>
      <c r="K1257" s="11">
        <v>-271</v>
      </c>
      <c r="L1257" s="11">
        <f t="shared" si="28"/>
        <v>-2271</v>
      </c>
      <c r="M1257" s="11">
        <f t="shared" si="29"/>
        <v>729</v>
      </c>
    </row>
    <row r="1258" spans="1:13">
      <c r="A1258" s="7">
        <v>45087</v>
      </c>
      <c r="B1258" s="8">
        <v>85.373782771536213</v>
      </c>
      <c r="E1258" s="8">
        <v>83.8</v>
      </c>
      <c r="F1258" s="10">
        <f>AVERAGE($E$1098:E1258)</f>
        <v>85.0953416149068</v>
      </c>
      <c r="I1258" s="11">
        <v>3000</v>
      </c>
      <c r="J1258" s="11">
        <v>-2000</v>
      </c>
      <c r="K1258" s="11">
        <v>-581</v>
      </c>
      <c r="L1258" s="11">
        <f t="shared" si="28"/>
        <v>-2581</v>
      </c>
      <c r="M1258" s="11">
        <f t="shared" si="29"/>
        <v>419</v>
      </c>
    </row>
    <row r="1259" spans="1:13">
      <c r="A1259" s="7">
        <v>45088</v>
      </c>
      <c r="B1259" s="8">
        <v>85.30711610486955</v>
      </c>
      <c r="E1259" s="8">
        <v>84.1</v>
      </c>
      <c r="F1259" s="10">
        <f>AVERAGE($E$1098:E1259)</f>
        <v>85.089197530864169</v>
      </c>
      <c r="I1259" s="11">
        <v>3000</v>
      </c>
      <c r="J1259" s="11">
        <v>-2000</v>
      </c>
      <c r="K1259" s="11">
        <v>-379</v>
      </c>
      <c r="L1259" s="11">
        <f t="shared" si="28"/>
        <v>-2379</v>
      </c>
      <c r="M1259" s="11">
        <f t="shared" si="29"/>
        <v>621</v>
      </c>
    </row>
    <row r="1260" spans="1:13">
      <c r="A1260" s="7">
        <v>45089</v>
      </c>
      <c r="B1260" s="8">
        <v>85.240449438202887</v>
      </c>
      <c r="E1260" s="8">
        <v>84.6</v>
      </c>
      <c r="F1260" s="10">
        <f>AVERAGE($E$1098:E1260)</f>
        <v>85.086196319018384</v>
      </c>
      <c r="I1260" s="11">
        <v>3000</v>
      </c>
      <c r="J1260" s="11">
        <v>-2000</v>
      </c>
      <c r="K1260" s="11">
        <v>-1352</v>
      </c>
      <c r="L1260" s="11">
        <f t="shared" si="28"/>
        <v>-3352</v>
      </c>
      <c r="M1260" s="11">
        <f t="shared" si="29"/>
        <v>-352</v>
      </c>
    </row>
    <row r="1261" spans="1:13">
      <c r="A1261" s="7">
        <v>45090</v>
      </c>
      <c r="B1261" s="8">
        <v>85.173782771536224</v>
      </c>
      <c r="E1261" s="8">
        <v>84.4</v>
      </c>
      <c r="F1261" s="10">
        <f>AVERAGE($E$1098:E1261)</f>
        <v>85.082012195121919</v>
      </c>
      <c r="I1261" s="11">
        <v>3000</v>
      </c>
      <c r="J1261" s="11">
        <v>-2000</v>
      </c>
      <c r="K1261" s="11">
        <v>-727</v>
      </c>
      <c r="L1261" s="11">
        <f t="shared" si="28"/>
        <v>-2727</v>
      </c>
      <c r="M1261" s="11">
        <f t="shared" si="29"/>
        <v>273</v>
      </c>
    </row>
    <row r="1262" spans="1:13">
      <c r="A1262" s="7">
        <v>45091</v>
      </c>
      <c r="B1262" s="8">
        <v>85.107116104869561</v>
      </c>
      <c r="E1262" s="8">
        <v>84.8</v>
      </c>
      <c r="F1262" s="10">
        <f>AVERAGE($E$1098:E1262)</f>
        <v>85.080303030303</v>
      </c>
      <c r="I1262" s="11">
        <v>4000</v>
      </c>
      <c r="J1262" s="11">
        <v>-2000</v>
      </c>
      <c r="K1262" s="11">
        <v>-2057</v>
      </c>
      <c r="L1262" s="11">
        <f t="shared" si="28"/>
        <v>-4057</v>
      </c>
      <c r="M1262" s="11">
        <f t="shared" si="29"/>
        <v>-57</v>
      </c>
    </row>
    <row r="1263" spans="1:13">
      <c r="A1263" s="7">
        <v>45092</v>
      </c>
      <c r="B1263" s="8">
        <v>85.040449438202899</v>
      </c>
      <c r="E1263" s="8">
        <v>84</v>
      </c>
      <c r="F1263" s="10">
        <f>AVERAGE($E$1098:E1263)</f>
        <v>85.073795180722854</v>
      </c>
      <c r="I1263" s="11">
        <v>3000</v>
      </c>
      <c r="J1263" s="11">
        <v>-2000</v>
      </c>
      <c r="K1263" s="11">
        <v>-691</v>
      </c>
      <c r="L1263" s="11">
        <f t="shared" si="28"/>
        <v>-2691</v>
      </c>
      <c r="M1263" s="11">
        <f t="shared" si="29"/>
        <v>309</v>
      </c>
    </row>
    <row r="1264" spans="1:13">
      <c r="A1264" s="7">
        <v>45093</v>
      </c>
      <c r="B1264" s="8">
        <v>84.973782771536236</v>
      </c>
      <c r="E1264" s="8">
        <v>83.9</v>
      </c>
      <c r="F1264" s="10">
        <f>AVERAGE($E$1098:E1264)</f>
        <v>85.066766467065833</v>
      </c>
      <c r="I1264" s="11">
        <v>3000</v>
      </c>
      <c r="J1264" s="11">
        <v>-2000</v>
      </c>
      <c r="K1264" s="11">
        <v>-1648</v>
      </c>
      <c r="L1264" s="11">
        <f t="shared" si="28"/>
        <v>-3648</v>
      </c>
      <c r="M1264" s="11">
        <f t="shared" si="29"/>
        <v>-648</v>
      </c>
    </row>
    <row r="1265" spans="1:13">
      <c r="A1265" s="7">
        <v>45094</v>
      </c>
      <c r="B1265" s="8">
        <v>84.907116104869573</v>
      </c>
      <c r="E1265" s="8">
        <v>84.1</v>
      </c>
      <c r="F1265" s="10">
        <f>AVERAGE($E$1098:E1265)</f>
        <v>85.06101190476187</v>
      </c>
      <c r="I1265" s="11">
        <v>3000</v>
      </c>
      <c r="J1265" s="11">
        <v>-2000</v>
      </c>
      <c r="K1265" s="11">
        <v>-716</v>
      </c>
      <c r="L1265" s="11">
        <f t="shared" si="28"/>
        <v>-2716</v>
      </c>
      <c r="M1265" s="11">
        <f t="shared" si="29"/>
        <v>284</v>
      </c>
    </row>
    <row r="1266" spans="1:13">
      <c r="A1266" s="7">
        <v>45095</v>
      </c>
      <c r="B1266" s="8">
        <v>84.84044943820291</v>
      </c>
      <c r="E1266" s="8">
        <v>84.2</v>
      </c>
      <c r="F1266" s="10">
        <f>AVERAGE($E$1098:E1266)</f>
        <v>85.055917159763283</v>
      </c>
      <c r="I1266" s="11">
        <v>5000</v>
      </c>
      <c r="J1266" s="11">
        <v>-2000</v>
      </c>
      <c r="K1266" s="11">
        <v>-4358</v>
      </c>
      <c r="L1266" s="11">
        <f t="shared" si="28"/>
        <v>-6358</v>
      </c>
      <c r="M1266" s="11">
        <f t="shared" si="29"/>
        <v>-1358</v>
      </c>
    </row>
    <row r="1267" spans="1:13">
      <c r="A1267" s="7">
        <v>45096</v>
      </c>
      <c r="B1267" s="8">
        <v>84.773782771536247</v>
      </c>
      <c r="E1267" s="8">
        <v>84.3</v>
      </c>
      <c r="F1267" s="10">
        <f>AVERAGE($E$1098:E1267)</f>
        <v>85.051470588235262</v>
      </c>
      <c r="I1267" s="11">
        <v>3000</v>
      </c>
      <c r="J1267" s="11">
        <v>-2000</v>
      </c>
      <c r="K1267" s="11">
        <v>-865</v>
      </c>
      <c r="L1267" s="11">
        <f t="shared" si="28"/>
        <v>-2865</v>
      </c>
      <c r="M1267" s="11">
        <f t="shared" si="29"/>
        <v>135</v>
      </c>
    </row>
    <row r="1268" spans="1:13">
      <c r="A1268" s="7">
        <v>45097</v>
      </c>
      <c r="B1268" s="8">
        <v>84.707116104869584</v>
      </c>
      <c r="E1268" s="8">
        <v>84.4</v>
      </c>
      <c r="F1268" s="10">
        <f>AVERAGE($E$1098:E1268)</f>
        <v>85.04766081871341</v>
      </c>
      <c r="I1268" s="11">
        <v>3000</v>
      </c>
      <c r="J1268" s="11">
        <v>-2000</v>
      </c>
      <c r="K1268" s="11">
        <v>-720</v>
      </c>
      <c r="L1268" s="11">
        <f t="shared" si="28"/>
        <v>-2720</v>
      </c>
      <c r="M1268" s="11">
        <f t="shared" si="29"/>
        <v>280</v>
      </c>
    </row>
    <row r="1269" spans="1:13">
      <c r="A1269" s="7">
        <v>45098</v>
      </c>
      <c r="B1269" s="8">
        <v>84.640449438202921</v>
      </c>
      <c r="E1269" s="8">
        <v>84.2</v>
      </c>
      <c r="F1269" s="10">
        <f>AVERAGE($E$1098:E1269)</f>
        <v>85.042732558139505</v>
      </c>
      <c r="I1269" s="11">
        <v>3000</v>
      </c>
      <c r="J1269" s="11">
        <v>-2000</v>
      </c>
      <c r="K1269" s="11">
        <v>-560</v>
      </c>
      <c r="L1269" s="11">
        <f t="shared" si="28"/>
        <v>-2560</v>
      </c>
      <c r="M1269" s="11">
        <f t="shared" si="29"/>
        <v>440</v>
      </c>
    </row>
    <row r="1270" spans="1:13">
      <c r="A1270" s="7">
        <v>45099</v>
      </c>
      <c r="B1270" s="8">
        <v>84.573782771536258</v>
      </c>
      <c r="E1270" s="8">
        <v>84.4</v>
      </c>
      <c r="F1270" s="10">
        <f>AVERAGE($E$1098:E1270)</f>
        <v>85.039017341040434</v>
      </c>
      <c r="I1270" s="11">
        <v>8000</v>
      </c>
      <c r="J1270" s="11">
        <v>-2000</v>
      </c>
      <c r="K1270" s="11">
        <v>-7415</v>
      </c>
      <c r="L1270" s="11">
        <f t="shared" si="28"/>
        <v>-9415</v>
      </c>
      <c r="M1270" s="11">
        <f t="shared" si="29"/>
        <v>-1415</v>
      </c>
    </row>
    <row r="1271" spans="1:13">
      <c r="A1271" s="7">
        <v>45100</v>
      </c>
      <c r="B1271" s="8">
        <v>84.507116104869596</v>
      </c>
      <c r="E1271" s="8">
        <v>84.8</v>
      </c>
      <c r="F1271" s="10">
        <f>AVERAGE($E$1098:E1271)</f>
        <v>85.03764367816089</v>
      </c>
      <c r="I1271" s="11">
        <v>9000</v>
      </c>
      <c r="J1271" s="11">
        <v>-2000</v>
      </c>
      <c r="K1271" s="11">
        <v>-8827</v>
      </c>
      <c r="L1271" s="11">
        <f t="shared" si="28"/>
        <v>-10827</v>
      </c>
      <c r="M1271" s="11">
        <f t="shared" si="29"/>
        <v>-1827</v>
      </c>
    </row>
    <row r="1272" spans="1:13">
      <c r="A1272" s="7">
        <v>45101</v>
      </c>
      <c r="B1272" s="8">
        <v>84.440449438202933</v>
      </c>
      <c r="E1272" s="8">
        <v>85.3</v>
      </c>
      <c r="F1272" s="10">
        <f>AVERAGE($E$1098:E1272)</f>
        <v>85.039142857142821</v>
      </c>
      <c r="I1272" s="11">
        <v>3000</v>
      </c>
      <c r="J1272" s="11">
        <v>-2000</v>
      </c>
      <c r="K1272" s="11">
        <v>-1186</v>
      </c>
      <c r="L1272" s="11">
        <f t="shared" si="28"/>
        <v>-3186</v>
      </c>
      <c r="M1272" s="11">
        <f t="shared" si="29"/>
        <v>-186</v>
      </c>
    </row>
    <row r="1273" spans="1:13">
      <c r="A1273" s="7">
        <v>45102</v>
      </c>
      <c r="B1273" s="8">
        <v>84.37378277153627</v>
      </c>
      <c r="E1273" s="8">
        <v>85.7</v>
      </c>
      <c r="F1273" s="10">
        <f>AVERAGE($E$1098:E1273)</f>
        <v>85.042897727272688</v>
      </c>
      <c r="I1273" s="11">
        <v>3000</v>
      </c>
      <c r="J1273" s="11">
        <v>-2000</v>
      </c>
      <c r="K1273" s="11">
        <v>-1168</v>
      </c>
      <c r="L1273" s="11">
        <f t="shared" si="28"/>
        <v>-3168</v>
      </c>
      <c r="M1273" s="11">
        <f t="shared" si="29"/>
        <v>-168</v>
      </c>
    </row>
    <row r="1274" spans="1:13">
      <c r="A1274" s="7">
        <v>45103</v>
      </c>
      <c r="B1274" s="8">
        <v>84.307116104869607</v>
      </c>
      <c r="E1274" s="8">
        <v>86</v>
      </c>
      <c r="F1274" s="10">
        <f>AVERAGE($E$1098:E1274)</f>
        <v>85.048305084745721</v>
      </c>
      <c r="I1274" s="11">
        <v>3000</v>
      </c>
      <c r="J1274" s="11">
        <v>-2000</v>
      </c>
      <c r="K1274" s="11">
        <v>-502</v>
      </c>
      <c r="L1274" s="11">
        <f t="shared" si="28"/>
        <v>-2502</v>
      </c>
      <c r="M1274" s="11">
        <f t="shared" si="29"/>
        <v>498</v>
      </c>
    </row>
    <row r="1275" spans="1:13">
      <c r="A1275" s="7">
        <v>45104</v>
      </c>
      <c r="B1275" s="8">
        <v>84.240449438202944</v>
      </c>
      <c r="E1275" s="8">
        <v>85.3</v>
      </c>
      <c r="F1275" s="10">
        <f>AVERAGE($E$1098:E1275)</f>
        <v>85.049719101123557</v>
      </c>
      <c r="I1275" s="11">
        <v>3000</v>
      </c>
      <c r="J1275" s="11">
        <v>-2000</v>
      </c>
      <c r="K1275" s="29">
        <v>-3247</v>
      </c>
      <c r="L1275" s="11">
        <f t="shared" si="28"/>
        <v>-5247</v>
      </c>
      <c r="M1275" s="11">
        <f t="shared" si="29"/>
        <v>-2247</v>
      </c>
    </row>
    <row r="1276" spans="1:13">
      <c r="A1276" s="7">
        <v>45105</v>
      </c>
      <c r="B1276" s="8">
        <v>84.173782771536281</v>
      </c>
      <c r="E1276" s="8">
        <v>84.7</v>
      </c>
      <c r="F1276" s="10">
        <f>AVERAGE($E$1098:E1276)</f>
        <v>85.047765363128462</v>
      </c>
      <c r="I1276" s="11">
        <v>3000</v>
      </c>
      <c r="J1276" s="11">
        <v>-2000</v>
      </c>
      <c r="K1276" s="29">
        <v>-657</v>
      </c>
      <c r="L1276" s="11">
        <f t="shared" si="28"/>
        <v>-2657</v>
      </c>
      <c r="M1276" s="11">
        <f t="shared" si="29"/>
        <v>343</v>
      </c>
    </row>
    <row r="1277" spans="1:13">
      <c r="A1277" s="7">
        <v>45106</v>
      </c>
      <c r="B1277" s="8">
        <v>84.107116104869618</v>
      </c>
      <c r="E1277" s="8">
        <v>83.9</v>
      </c>
      <c r="F1277" s="10">
        <f>AVERAGE($E$1098:E1277)</f>
        <v>85.041388888888847</v>
      </c>
      <c r="I1277" s="11">
        <v>3000</v>
      </c>
      <c r="J1277" s="11">
        <v>-2000</v>
      </c>
      <c r="K1277" s="29">
        <v>-2456</v>
      </c>
      <c r="L1277" s="11">
        <f t="shared" si="28"/>
        <v>-4456</v>
      </c>
      <c r="M1277" s="11">
        <f t="shared" si="29"/>
        <v>-1456</v>
      </c>
    </row>
    <row r="1278" spans="1:13">
      <c r="A1278" s="7">
        <v>45107</v>
      </c>
      <c r="B1278" s="8">
        <v>84.040449438202955</v>
      </c>
      <c r="E1278" s="8">
        <v>83.5</v>
      </c>
      <c r="F1278" s="10">
        <f>AVERAGE($E$1098:E1278)</f>
        <v>85.032872928176758</v>
      </c>
      <c r="I1278" s="11">
        <v>3000</v>
      </c>
      <c r="J1278" s="11">
        <v>-2000</v>
      </c>
      <c r="K1278" s="29">
        <v>-6574</v>
      </c>
      <c r="L1278" s="11">
        <f t="shared" si="28"/>
        <v>-8574</v>
      </c>
      <c r="M1278" s="11">
        <f t="shared" si="29"/>
        <v>-5574</v>
      </c>
    </row>
    <row r="1279" spans="1:13">
      <c r="A1279" s="7">
        <v>45108</v>
      </c>
      <c r="B1279" s="8">
        <v>83.973782771536293</v>
      </c>
      <c r="E1279" s="8">
        <v>84</v>
      </c>
      <c r="F1279" s="10">
        <f>AVERAGE($E$1098:E1279)</f>
        <v>85.027197802197762</v>
      </c>
      <c r="I1279" s="11">
        <v>3000</v>
      </c>
      <c r="J1279" s="11">
        <v>-2000</v>
      </c>
      <c r="K1279" s="29">
        <v>-733</v>
      </c>
      <c r="L1279" s="11">
        <f t="shared" si="28"/>
        <v>-2733</v>
      </c>
      <c r="M1279" s="11">
        <f t="shared" si="29"/>
        <v>267</v>
      </c>
    </row>
    <row r="1280" spans="1:13">
      <c r="A1280" s="7">
        <v>45109</v>
      </c>
      <c r="B1280" s="8">
        <v>83.90711610486963</v>
      </c>
      <c r="E1280" s="8">
        <v>84.6</v>
      </c>
      <c r="F1280" s="10">
        <f>AVERAGE($E$1098:E1280)</f>
        <v>85.024863387978115</v>
      </c>
      <c r="I1280" s="11">
        <v>3000</v>
      </c>
      <c r="J1280" s="11">
        <v>-2000</v>
      </c>
      <c r="K1280" s="29">
        <v>-550</v>
      </c>
      <c r="L1280" s="11">
        <f t="shared" si="28"/>
        <v>-2550</v>
      </c>
      <c r="M1280" s="11">
        <f t="shared" si="29"/>
        <v>450</v>
      </c>
    </row>
    <row r="1281" spans="1:13">
      <c r="A1281" s="7">
        <v>45110</v>
      </c>
      <c r="B1281" s="8">
        <v>83.840449438202967</v>
      </c>
      <c r="E1281" s="8">
        <v>84</v>
      </c>
      <c r="F1281" s="10">
        <f>AVERAGE($E$1098:E1281)</f>
        <v>85.019293478260835</v>
      </c>
      <c r="I1281" s="11">
        <v>3000</v>
      </c>
      <c r="J1281" s="11">
        <v>-2000</v>
      </c>
      <c r="K1281" s="29">
        <v>-2482</v>
      </c>
      <c r="L1281" s="11">
        <f t="shared" si="28"/>
        <v>-4482</v>
      </c>
      <c r="M1281" s="11">
        <f t="shared" si="29"/>
        <v>-1482</v>
      </c>
    </row>
    <row r="1282" spans="1:13">
      <c r="A1282" s="7">
        <v>45111</v>
      </c>
      <c r="B1282" s="8">
        <v>83.773782771536304</v>
      </c>
      <c r="E1282" s="8">
        <v>82.8</v>
      </c>
      <c r="F1282" s="10">
        <f>AVERAGE($E$1098:E1282)</f>
        <v>85.007297297297256</v>
      </c>
      <c r="I1282" s="11">
        <v>3000</v>
      </c>
      <c r="J1282" s="11">
        <v>-2000</v>
      </c>
      <c r="K1282" s="29">
        <v>-578</v>
      </c>
      <c r="L1282" s="11">
        <f t="shared" si="28"/>
        <v>-2578</v>
      </c>
      <c r="M1282" s="11">
        <f t="shared" si="29"/>
        <v>422</v>
      </c>
    </row>
    <row r="1283" spans="1:13">
      <c r="A1283" s="7">
        <v>45112</v>
      </c>
      <c r="B1283" s="8">
        <v>83.707116104869641</v>
      </c>
      <c r="E1283" s="8">
        <v>83.6</v>
      </c>
      <c r="F1283" s="10">
        <f>AVERAGE($E$1098:E1283)</f>
        <v>84.999731182795671</v>
      </c>
      <c r="I1283" s="11">
        <v>3000</v>
      </c>
      <c r="J1283" s="11">
        <v>-2000</v>
      </c>
      <c r="K1283" s="29">
        <v>-565</v>
      </c>
      <c r="L1283" s="11">
        <f t="shared" si="28"/>
        <v>-2565</v>
      </c>
      <c r="M1283" s="11">
        <f t="shared" si="29"/>
        <v>435</v>
      </c>
    </row>
    <row r="1284" spans="1:13">
      <c r="A1284" s="7">
        <v>45113</v>
      </c>
      <c r="B1284" s="8">
        <v>83.640449438202978</v>
      </c>
      <c r="E1284" s="8">
        <v>83.9</v>
      </c>
      <c r="F1284" s="10">
        <f>AVERAGE($E$1098:E1284)</f>
        <v>84.993850267379642</v>
      </c>
      <c r="I1284" s="11">
        <v>3000</v>
      </c>
      <c r="J1284" s="11">
        <v>-2000</v>
      </c>
      <c r="K1284" s="29">
        <v>-633</v>
      </c>
      <c r="L1284" s="11">
        <f t="shared" si="28"/>
        <v>-2633</v>
      </c>
      <c r="M1284" s="11">
        <f t="shared" si="29"/>
        <v>367</v>
      </c>
    </row>
    <row r="1285" spans="1:13">
      <c r="A1285" s="7">
        <v>45114</v>
      </c>
      <c r="B1285" s="8">
        <v>83.573782771536315</v>
      </c>
      <c r="E1285" s="8">
        <v>84.3</v>
      </c>
      <c r="F1285" s="10">
        <f>AVERAGE($E$1098:E1285)</f>
        <v>84.990159574468038</v>
      </c>
      <c r="I1285" s="11">
        <v>3000</v>
      </c>
      <c r="J1285" s="11">
        <v>-2000</v>
      </c>
      <c r="K1285" s="29">
        <v>-1009</v>
      </c>
      <c r="L1285" s="11">
        <f t="shared" si="28"/>
        <v>-3009</v>
      </c>
      <c r="M1285" s="11">
        <f t="shared" si="29"/>
        <v>-9</v>
      </c>
    </row>
    <row r="1286" spans="1:13">
      <c r="A1286" s="7">
        <v>45115</v>
      </c>
      <c r="B1286" s="8">
        <v>83.507116104869652</v>
      </c>
      <c r="E1286" s="8">
        <v>83.6</v>
      </c>
      <c r="F1286" s="10">
        <f>AVERAGE($E$1098:E1286)</f>
        <v>84.982804232804199</v>
      </c>
      <c r="I1286" s="11">
        <v>3000</v>
      </c>
      <c r="J1286" s="11">
        <v>-2000</v>
      </c>
      <c r="K1286" s="29">
        <v>-777</v>
      </c>
      <c r="L1286" s="11">
        <f t="shared" si="28"/>
        <v>-2777</v>
      </c>
      <c r="M1286" s="11">
        <f t="shared" si="29"/>
        <v>223</v>
      </c>
    </row>
    <row r="1287" spans="1:13">
      <c r="A1287" s="7">
        <v>45116</v>
      </c>
      <c r="B1287" s="8">
        <v>83.44044943820299</v>
      </c>
      <c r="E1287" s="8">
        <v>84.4</v>
      </c>
      <c r="F1287" s="10">
        <f>AVERAGE($E$1098:E1287)</f>
        <v>84.979736842105225</v>
      </c>
      <c r="I1287" s="11">
        <v>3000</v>
      </c>
      <c r="J1287" s="11">
        <v>-2000</v>
      </c>
      <c r="K1287" s="29">
        <v>-2397</v>
      </c>
      <c r="L1287" s="11">
        <f t="shared" si="28"/>
        <v>-4397</v>
      </c>
      <c r="M1287" s="11">
        <f t="shared" si="29"/>
        <v>-1397</v>
      </c>
    </row>
    <row r="1288" spans="1:13">
      <c r="A1288" s="7">
        <v>45117</v>
      </c>
      <c r="B1288" s="8">
        <v>83.373782771536327</v>
      </c>
      <c r="E1288" s="8">
        <v>84.5</v>
      </c>
      <c r="F1288" s="10">
        <f>AVERAGE($E$1098:E1288)</f>
        <v>84.977225130890005</v>
      </c>
      <c r="I1288" s="11">
        <v>3000</v>
      </c>
      <c r="J1288" s="11">
        <v>-2000</v>
      </c>
      <c r="K1288" s="29">
        <v>-506</v>
      </c>
      <c r="L1288" s="11">
        <f t="shared" si="28"/>
        <v>-2506</v>
      </c>
      <c r="M1288" s="11">
        <f t="shared" si="29"/>
        <v>494</v>
      </c>
    </row>
    <row r="1289" spans="1:13">
      <c r="A1289" s="7">
        <v>45118</v>
      </c>
      <c r="B1289" s="8">
        <v>83.307116104869664</v>
      </c>
      <c r="E1289" s="8">
        <v>85.3</v>
      </c>
      <c r="F1289" s="10">
        <f>AVERAGE($E$1098:E1289)</f>
        <v>84.978906249999952</v>
      </c>
      <c r="I1289" s="11">
        <v>3000</v>
      </c>
      <c r="J1289" s="11">
        <v>-2000</v>
      </c>
      <c r="K1289" s="29">
        <v>-580</v>
      </c>
      <c r="L1289" s="11">
        <f t="shared" si="28"/>
        <v>-2580</v>
      </c>
      <c r="M1289" s="11">
        <f t="shared" si="29"/>
        <v>420</v>
      </c>
    </row>
    <row r="1290" spans="1:13">
      <c r="A1290" s="7">
        <v>45119</v>
      </c>
      <c r="B1290" s="8">
        <v>83.240449438203001</v>
      </c>
      <c r="E1290" s="8">
        <v>84.6</v>
      </c>
      <c r="F1290" s="10">
        <f>AVERAGE($E$1098:E1290)</f>
        <v>84.976943005181312</v>
      </c>
      <c r="I1290" s="11">
        <v>3000</v>
      </c>
      <c r="J1290" s="11">
        <v>-2000</v>
      </c>
      <c r="K1290" s="29">
        <v>-980</v>
      </c>
      <c r="L1290" s="11">
        <f t="shared" si="28"/>
        <v>-2980</v>
      </c>
      <c r="M1290" s="11">
        <f t="shared" si="29"/>
        <v>20</v>
      </c>
    </row>
    <row r="1291" spans="1:13">
      <c r="A1291" s="7">
        <v>45120</v>
      </c>
      <c r="B1291" s="8">
        <v>83.173782771536338</v>
      </c>
      <c r="E1291" s="8">
        <v>84.7</v>
      </c>
      <c r="F1291" s="10">
        <f>AVERAGE($E$1098:E1291)</f>
        <v>84.975515463917489</v>
      </c>
      <c r="I1291" s="11">
        <v>3000</v>
      </c>
      <c r="J1291" s="11">
        <v>-2000</v>
      </c>
      <c r="K1291" s="29">
        <v>-672</v>
      </c>
      <c r="L1291" s="11">
        <f t="shared" si="28"/>
        <v>-2672</v>
      </c>
      <c r="M1291" s="11">
        <f t="shared" si="29"/>
        <v>328</v>
      </c>
    </row>
    <row r="1292" spans="1:13">
      <c r="A1292" s="7">
        <v>45121</v>
      </c>
      <c r="B1292" s="8">
        <v>83.107116104869675</v>
      </c>
      <c r="E1292" s="8">
        <v>84.8</v>
      </c>
      <c r="F1292" s="10">
        <f>AVERAGE($E$1098:E1292)</f>
        <v>84.974615384615348</v>
      </c>
      <c r="I1292" s="11">
        <v>3000</v>
      </c>
      <c r="J1292" s="11">
        <v>-2000</v>
      </c>
      <c r="K1292" s="29">
        <v>-931</v>
      </c>
      <c r="L1292" s="11">
        <f t="shared" si="28"/>
        <v>-2931</v>
      </c>
      <c r="M1292" s="11">
        <f t="shared" si="29"/>
        <v>69</v>
      </c>
    </row>
    <row r="1293" spans="1:13">
      <c r="A1293" s="7">
        <v>45122</v>
      </c>
      <c r="B1293" s="8">
        <v>83.040449438203012</v>
      </c>
      <c r="E1293" s="8">
        <v>84</v>
      </c>
      <c r="F1293" s="10">
        <f>AVERAGE($E$1098:E1293)</f>
        <v>84.969642857142816</v>
      </c>
      <c r="I1293" s="11">
        <v>3000</v>
      </c>
      <c r="J1293" s="11">
        <v>-2000</v>
      </c>
      <c r="K1293" s="29">
        <v>-597</v>
      </c>
      <c r="L1293" s="11">
        <f t="shared" si="28"/>
        <v>-2597</v>
      </c>
      <c r="M1293" s="11">
        <f t="shared" si="29"/>
        <v>403</v>
      </c>
    </row>
    <row r="1294" spans="1:13">
      <c r="A1294" s="7">
        <v>45123</v>
      </c>
      <c r="B1294" s="8">
        <v>82.973782771536349</v>
      </c>
      <c r="E1294" s="8">
        <v>85.5</v>
      </c>
      <c r="F1294" s="10">
        <f>AVERAGE($E$1098:E1294)</f>
        <v>84.972335025380673</v>
      </c>
      <c r="I1294" s="11">
        <v>3000</v>
      </c>
      <c r="J1294" s="11">
        <v>-2000</v>
      </c>
      <c r="K1294" s="29">
        <v>-616</v>
      </c>
      <c r="L1294" s="11">
        <f t="shared" si="28"/>
        <v>-2616</v>
      </c>
      <c r="M1294" s="11">
        <f t="shared" si="29"/>
        <v>384</v>
      </c>
    </row>
    <row r="1295" spans="1:13">
      <c r="A1295" s="7">
        <v>45124</v>
      </c>
      <c r="B1295" s="8">
        <v>82.907116104869687</v>
      </c>
      <c r="E1295" s="8">
        <v>85.4</v>
      </c>
      <c r="F1295" s="10">
        <f>AVERAGE($E$1098:E1295)</f>
        <v>84.974494949494911</v>
      </c>
      <c r="I1295" s="11">
        <v>3000</v>
      </c>
      <c r="J1295" s="11">
        <v>-2000</v>
      </c>
      <c r="K1295" s="29">
        <v>-692</v>
      </c>
      <c r="L1295" s="11">
        <f t="shared" si="28"/>
        <v>-2692</v>
      </c>
      <c r="M1295" s="11">
        <f t="shared" si="29"/>
        <v>308</v>
      </c>
    </row>
    <row r="1296" spans="1:13">
      <c r="A1296" s="7">
        <v>45125</v>
      </c>
      <c r="B1296" s="8">
        <v>82.840449438203024</v>
      </c>
      <c r="E1296" s="8">
        <f>E1295+0.4</f>
        <v>85.800000000000011</v>
      </c>
      <c r="F1296" s="10">
        <f>AVERAGE($E$1098:E1296)</f>
        <v>84.978643216080371</v>
      </c>
      <c r="I1296" s="11">
        <v>3000</v>
      </c>
      <c r="J1296" s="11">
        <v>-2000</v>
      </c>
      <c r="K1296" s="29">
        <v>-930</v>
      </c>
      <c r="L1296" s="11">
        <f t="shared" si="28"/>
        <v>-2930</v>
      </c>
      <c r="M1296" s="11">
        <f t="shared" si="29"/>
        <v>70</v>
      </c>
    </row>
    <row r="1297" spans="1:13">
      <c r="A1297" s="7">
        <v>45126</v>
      </c>
      <c r="B1297" s="8">
        <v>82.773782771536361</v>
      </c>
      <c r="E1297" s="8">
        <f>E1296+0.4</f>
        <v>86.200000000000017</v>
      </c>
      <c r="F1297" s="10">
        <f>AVERAGE($E$1098:E1297)</f>
        <v>84.984749999999963</v>
      </c>
      <c r="I1297" s="11">
        <v>3000</v>
      </c>
      <c r="J1297" s="11">
        <v>-2000</v>
      </c>
      <c r="K1297" s="29">
        <v>-594</v>
      </c>
      <c r="L1297" s="11">
        <f t="shared" si="28"/>
        <v>-2594</v>
      </c>
      <c r="M1297" s="11">
        <f t="shared" si="29"/>
        <v>406</v>
      </c>
    </row>
    <row r="1298" spans="1:13">
      <c r="A1298" s="7">
        <v>45127</v>
      </c>
      <c r="B1298" s="8">
        <v>82.707116104869698</v>
      </c>
      <c r="E1298" s="8">
        <f>E1297+0.4</f>
        <v>86.600000000000023</v>
      </c>
      <c r="F1298" s="10">
        <f>AVERAGE($E$1098:E1298)</f>
        <v>84.9927860696517</v>
      </c>
      <c r="I1298" s="11">
        <v>3000</v>
      </c>
      <c r="J1298" s="11">
        <v>-2000</v>
      </c>
      <c r="K1298" s="29">
        <v>-584</v>
      </c>
      <c r="L1298" s="11">
        <f t="shared" si="28"/>
        <v>-2584</v>
      </c>
      <c r="M1298" s="11">
        <f t="shared" si="29"/>
        <v>416</v>
      </c>
    </row>
    <row r="1299" spans="1:13">
      <c r="A1299" s="7">
        <v>45128</v>
      </c>
      <c r="B1299" s="8">
        <v>82.640449438203035</v>
      </c>
      <c r="E1299" s="8">
        <v>87.2</v>
      </c>
      <c r="F1299" s="10">
        <f>AVERAGE($E$1098:E1299)</f>
        <v>85.003712871287092</v>
      </c>
      <c r="I1299" s="11">
        <v>3000</v>
      </c>
      <c r="J1299" s="11">
        <v>-2000</v>
      </c>
      <c r="K1299" s="29">
        <v>-655</v>
      </c>
      <c r="L1299" s="11">
        <f t="shared" si="28"/>
        <v>-2655</v>
      </c>
      <c r="M1299" s="11">
        <f t="shared" si="29"/>
        <v>345</v>
      </c>
    </row>
    <row r="1300" spans="1:13">
      <c r="A1300" s="7">
        <v>45129</v>
      </c>
      <c r="B1300" s="8">
        <v>82.573782771536372</v>
      </c>
      <c r="E1300" s="8">
        <v>85.5</v>
      </c>
      <c r="F1300" s="10">
        <f>AVERAGE($E$1098:E1300)</f>
        <v>85.006157635467943</v>
      </c>
      <c r="I1300" s="11">
        <v>3000</v>
      </c>
      <c r="J1300" s="11">
        <v>-2000</v>
      </c>
      <c r="K1300" s="29">
        <v>-3978</v>
      </c>
      <c r="L1300" s="11">
        <f t="shared" si="28"/>
        <v>-5978</v>
      </c>
      <c r="M1300" s="11">
        <f t="shared" si="29"/>
        <v>-2978</v>
      </c>
    </row>
    <row r="1301" spans="1:13">
      <c r="A1301" s="7">
        <v>45130</v>
      </c>
      <c r="B1301" s="8">
        <v>82.507116104869709</v>
      </c>
      <c r="E1301" s="8">
        <v>85.2</v>
      </c>
      <c r="F1301" s="10">
        <f>AVERAGE($E$1098:E1301)</f>
        <v>85.00710784313722</v>
      </c>
      <c r="I1301" s="11">
        <v>3000</v>
      </c>
      <c r="J1301" s="11">
        <v>-2000</v>
      </c>
      <c r="K1301" s="29">
        <v>-439</v>
      </c>
      <c r="L1301" s="11">
        <f t="shared" si="28"/>
        <v>-2439</v>
      </c>
      <c r="M1301" s="11">
        <f t="shared" si="29"/>
        <v>561</v>
      </c>
    </row>
    <row r="1302" spans="1:13">
      <c r="A1302" s="7">
        <v>45131</v>
      </c>
      <c r="B1302" s="8">
        <v>82.440449438203046</v>
      </c>
      <c r="E1302" s="8">
        <v>87.2</v>
      </c>
      <c r="F1302" s="10">
        <f>AVERAGE($E$1098:E1302)</f>
        <v>85.01780487804875</v>
      </c>
      <c r="I1302" s="11">
        <v>3000</v>
      </c>
      <c r="J1302" s="11">
        <v>-2000</v>
      </c>
      <c r="K1302" s="11">
        <v>-867</v>
      </c>
      <c r="L1302" s="11">
        <f t="shared" si="28"/>
        <v>-2867</v>
      </c>
      <c r="M1302" s="11">
        <f t="shared" si="29"/>
        <v>133</v>
      </c>
    </row>
    <row r="1303" spans="1:13">
      <c r="A1303" s="7">
        <v>45132</v>
      </c>
      <c r="B1303" s="8">
        <v>82.373782771536384</v>
      </c>
      <c r="E1303" s="8">
        <v>85.5</v>
      </c>
      <c r="F1303" s="10">
        <f>AVERAGE($E$1098:E1303)</f>
        <v>85.020145631067933</v>
      </c>
      <c r="I1303" s="11">
        <v>3000</v>
      </c>
      <c r="J1303" s="11">
        <v>-2000</v>
      </c>
      <c r="K1303" s="11">
        <v>-973</v>
      </c>
      <c r="L1303" s="11">
        <f t="shared" si="28"/>
        <v>-2973</v>
      </c>
      <c r="M1303" s="11">
        <f t="shared" si="29"/>
        <v>27</v>
      </c>
    </row>
    <row r="1304" spans="1:13">
      <c r="A1304" s="7">
        <v>45133</v>
      </c>
      <c r="B1304" s="8">
        <v>82.307116104869721</v>
      </c>
      <c r="E1304" s="8">
        <v>85.2</v>
      </c>
      <c r="F1304" s="10">
        <f>AVERAGE($E$1098:E1304)</f>
        <v>85.021014492753594</v>
      </c>
      <c r="I1304" s="11">
        <v>3000</v>
      </c>
      <c r="J1304" s="11">
        <v>-2000</v>
      </c>
      <c r="K1304" s="11">
        <v>-817</v>
      </c>
      <c r="L1304" s="11">
        <f t="shared" si="28"/>
        <v>-2817</v>
      </c>
      <c r="M1304" s="11">
        <f t="shared" si="29"/>
        <v>183</v>
      </c>
    </row>
    <row r="1305" spans="1:13">
      <c r="A1305" s="7">
        <v>45134</v>
      </c>
      <c r="B1305" s="8">
        <v>82.240449438203058</v>
      </c>
      <c r="E1305" s="8">
        <v>85</v>
      </c>
      <c r="F1305" s="10">
        <f>AVERAGE($E$1098:E1305)</f>
        <v>85.020913461538441</v>
      </c>
      <c r="I1305" s="11">
        <v>3000</v>
      </c>
      <c r="J1305" s="11">
        <v>-2000</v>
      </c>
      <c r="K1305" s="11">
        <v>-722</v>
      </c>
      <c r="L1305" s="11">
        <f t="shared" si="28"/>
        <v>-2722</v>
      </c>
      <c r="M1305" s="11">
        <f t="shared" si="29"/>
        <v>278</v>
      </c>
    </row>
    <row r="1306" spans="1:13">
      <c r="A1306" s="7">
        <v>45135</v>
      </c>
      <c r="B1306" s="8">
        <v>82.173782771536395</v>
      </c>
      <c r="E1306" s="8">
        <v>84.8</v>
      </c>
      <c r="F1306" s="10">
        <f>AVERAGE($E$1098:E1306)</f>
        <v>85.019856459330114</v>
      </c>
      <c r="I1306" s="11">
        <v>3000</v>
      </c>
      <c r="J1306" s="11">
        <v>-2000</v>
      </c>
      <c r="K1306" s="11">
        <v>-1040</v>
      </c>
      <c r="L1306" s="11">
        <f t="shared" si="28"/>
        <v>-3040</v>
      </c>
      <c r="M1306" s="11">
        <f t="shared" si="29"/>
        <v>-40</v>
      </c>
    </row>
    <row r="1307" spans="1:13">
      <c r="A1307" s="7">
        <v>45136</v>
      </c>
      <c r="B1307" s="8">
        <v>82.107116104869732</v>
      </c>
      <c r="E1307" s="8">
        <v>85.2</v>
      </c>
      <c r="F1307" s="10">
        <f>AVERAGE($E$1098:E1307)</f>
        <v>85.020714285714263</v>
      </c>
      <c r="I1307" s="11">
        <v>3000</v>
      </c>
      <c r="J1307" s="11">
        <v>-2000</v>
      </c>
      <c r="K1307" s="11">
        <v>-2245</v>
      </c>
      <c r="L1307" s="11">
        <f t="shared" si="28"/>
        <v>-4245</v>
      </c>
      <c r="M1307" s="11">
        <f t="shared" si="29"/>
        <v>-1245</v>
      </c>
    </row>
    <row r="1308" spans="1:13">
      <c r="A1308" s="7">
        <v>45137</v>
      </c>
      <c r="B1308" s="8">
        <v>82.040449438203069</v>
      </c>
      <c r="E1308" s="8">
        <v>85.9</v>
      </c>
      <c r="F1308" s="10">
        <f>AVERAGE($E$1098:E1308)</f>
        <v>85.024881516587655</v>
      </c>
      <c r="I1308" s="11">
        <v>3000</v>
      </c>
      <c r="J1308" s="11">
        <v>-2000</v>
      </c>
      <c r="K1308" s="11">
        <v>-599</v>
      </c>
      <c r="L1308" s="11">
        <f t="shared" si="28"/>
        <v>-2599</v>
      </c>
      <c r="M1308" s="11">
        <f t="shared" si="29"/>
        <v>401</v>
      </c>
    </row>
    <row r="1309" spans="1:13">
      <c r="A1309" s="7">
        <v>45138</v>
      </c>
      <c r="B1309" s="8">
        <v>81.973782771536406</v>
      </c>
      <c r="E1309" s="8">
        <v>87.2</v>
      </c>
      <c r="F1309" s="10">
        <f>AVERAGE($E$1098:E1309)</f>
        <v>85.035141509433942</v>
      </c>
      <c r="I1309" s="11">
        <v>3000</v>
      </c>
      <c r="J1309" s="11">
        <v>-2000</v>
      </c>
      <c r="K1309" s="11">
        <v>-992</v>
      </c>
      <c r="L1309" s="11">
        <f t="shared" si="28"/>
        <v>-2992</v>
      </c>
      <c r="M1309" s="11">
        <f t="shared" si="29"/>
        <v>8</v>
      </c>
    </row>
    <row r="1310" spans="1:13">
      <c r="A1310" s="7">
        <v>45139</v>
      </c>
      <c r="B1310" s="8">
        <v>85.007116104869738</v>
      </c>
      <c r="E1310" s="8">
        <v>85.9</v>
      </c>
      <c r="F1310" s="10">
        <f>AVERAGE($E$1098:E1310)</f>
        <v>85.039201877934261</v>
      </c>
      <c r="I1310" s="11">
        <v>3000</v>
      </c>
      <c r="J1310" s="11">
        <v>-2000</v>
      </c>
      <c r="K1310" s="11">
        <v>-563</v>
      </c>
      <c r="L1310" s="11">
        <f t="shared" ref="L1310:L1373" si="30">SUM(J1310:K1310)</f>
        <v>-2563</v>
      </c>
      <c r="M1310" s="11">
        <f t="shared" ref="M1310:M1373" si="31">I1310+J1310+K1310</f>
        <v>437</v>
      </c>
    </row>
    <row r="1311" spans="1:13">
      <c r="A1311" s="7">
        <v>45140</v>
      </c>
      <c r="B1311" s="8">
        <v>84.940449438203075</v>
      </c>
      <c r="E1311" s="8">
        <v>85.3</v>
      </c>
      <c r="F1311" s="10">
        <f>AVERAGE($E$1098:E1311)</f>
        <v>85.040420560747648</v>
      </c>
      <c r="I1311" s="11">
        <v>3000</v>
      </c>
      <c r="J1311" s="11">
        <v>-2000</v>
      </c>
      <c r="K1311" s="11">
        <v>-608</v>
      </c>
      <c r="L1311" s="11">
        <f t="shared" si="30"/>
        <v>-2608</v>
      </c>
      <c r="M1311" s="11">
        <f t="shared" si="31"/>
        <v>392</v>
      </c>
    </row>
    <row r="1312" spans="1:13">
      <c r="A1312" s="7">
        <v>45141</v>
      </c>
      <c r="B1312" s="8">
        <v>84.873782771536412</v>
      </c>
      <c r="E1312" s="8">
        <v>85.5</v>
      </c>
      <c r="F1312" s="10">
        <f>AVERAGE($E$1098:E1312)</f>
        <v>85.042558139534876</v>
      </c>
      <c r="I1312" s="11">
        <v>3000</v>
      </c>
      <c r="J1312" s="11">
        <v>-2000</v>
      </c>
      <c r="K1312" s="11">
        <v>-843</v>
      </c>
      <c r="L1312" s="11">
        <f t="shared" si="30"/>
        <v>-2843</v>
      </c>
      <c r="M1312" s="11">
        <f t="shared" si="31"/>
        <v>157</v>
      </c>
    </row>
    <row r="1313" spans="1:13">
      <c r="A1313" s="7">
        <v>45142</v>
      </c>
      <c r="B1313" s="8">
        <v>84.807116104869749</v>
      </c>
      <c r="E1313" s="8">
        <v>85.9</v>
      </c>
      <c r="F1313" s="10">
        <f>AVERAGE($E$1098:E1313)</f>
        <v>85.046527777777769</v>
      </c>
      <c r="I1313" s="11">
        <v>3000</v>
      </c>
      <c r="J1313" s="11">
        <v>-2000</v>
      </c>
      <c r="K1313" s="11">
        <v>-1519</v>
      </c>
      <c r="L1313" s="11">
        <f t="shared" si="30"/>
        <v>-3519</v>
      </c>
      <c r="M1313" s="11">
        <f t="shared" si="31"/>
        <v>-519</v>
      </c>
    </row>
    <row r="1314" spans="1:13">
      <c r="A1314" s="7">
        <v>45143</v>
      </c>
      <c r="B1314" s="8">
        <v>84.740449438203086</v>
      </c>
      <c r="E1314" s="8">
        <v>86.7</v>
      </c>
      <c r="F1314" s="10">
        <f>AVERAGE($E$1098:E1314)</f>
        <v>85.054147465437794</v>
      </c>
      <c r="I1314" s="11">
        <v>3000</v>
      </c>
      <c r="J1314" s="11">
        <v>-2000</v>
      </c>
      <c r="K1314" s="11">
        <v>-1952</v>
      </c>
      <c r="L1314" s="11">
        <f t="shared" si="30"/>
        <v>-3952</v>
      </c>
      <c r="M1314" s="11">
        <f t="shared" si="31"/>
        <v>-952</v>
      </c>
    </row>
    <row r="1315" spans="1:13">
      <c r="A1315" s="7">
        <v>45144</v>
      </c>
      <c r="B1315" s="8">
        <v>84.673782771536423</v>
      </c>
      <c r="E1315" s="8">
        <v>86</v>
      </c>
      <c r="F1315" s="10">
        <f>AVERAGE($E$1098:E1315)</f>
        <v>85.058486238532112</v>
      </c>
      <c r="I1315" s="11">
        <v>3000</v>
      </c>
      <c r="J1315" s="11">
        <v>-2000</v>
      </c>
      <c r="K1315" s="11">
        <v>-1355</v>
      </c>
      <c r="L1315" s="11">
        <f t="shared" si="30"/>
        <v>-3355</v>
      </c>
      <c r="M1315" s="11">
        <f t="shared" si="31"/>
        <v>-355</v>
      </c>
    </row>
    <row r="1316" spans="1:13">
      <c r="A1316" s="7">
        <v>45145</v>
      </c>
      <c r="B1316" s="8">
        <v>84.60711610486976</v>
      </c>
      <c r="E1316" s="8">
        <v>86.8</v>
      </c>
      <c r="F1316" s="10">
        <f>AVERAGE($E$1098:E1316)</f>
        <v>85.066438356164383</v>
      </c>
      <c r="I1316" s="11">
        <v>3000</v>
      </c>
      <c r="J1316" s="11">
        <v>-2000</v>
      </c>
      <c r="K1316" s="11">
        <v>-826</v>
      </c>
      <c r="L1316" s="11">
        <f t="shared" si="30"/>
        <v>-2826</v>
      </c>
      <c r="M1316" s="11">
        <f t="shared" si="31"/>
        <v>174</v>
      </c>
    </row>
    <row r="1317" spans="1:13">
      <c r="A1317" s="7">
        <v>45146</v>
      </c>
      <c r="B1317" s="8">
        <v>84.540449438203098</v>
      </c>
      <c r="E1317" s="8">
        <v>86.3</v>
      </c>
      <c r="F1317" s="10">
        <f>AVERAGE($E$1098:E1317)</f>
        <v>85.072045454545446</v>
      </c>
      <c r="I1317" s="11">
        <v>3000</v>
      </c>
      <c r="J1317" s="11">
        <v>-2000</v>
      </c>
      <c r="K1317" s="11">
        <v>-1326</v>
      </c>
      <c r="L1317" s="11">
        <f t="shared" si="30"/>
        <v>-3326</v>
      </c>
      <c r="M1317" s="11">
        <f t="shared" si="31"/>
        <v>-326</v>
      </c>
    </row>
    <row r="1318" spans="1:13">
      <c r="A1318" s="7">
        <v>45147</v>
      </c>
      <c r="B1318" s="8">
        <v>84.473782771536435</v>
      </c>
      <c r="E1318" s="8">
        <v>86</v>
      </c>
      <c r="F1318" s="10">
        <f>AVERAGE($E$1098:E1318)</f>
        <v>85.076244343891389</v>
      </c>
      <c r="I1318" s="11">
        <v>3000</v>
      </c>
      <c r="J1318" s="11">
        <v>-2000</v>
      </c>
      <c r="K1318" s="11">
        <v>-4343</v>
      </c>
      <c r="L1318" s="11">
        <f t="shared" si="30"/>
        <v>-6343</v>
      </c>
      <c r="M1318" s="11">
        <f t="shared" si="31"/>
        <v>-3343</v>
      </c>
    </row>
    <row r="1319" spans="1:13">
      <c r="A1319" s="7">
        <v>45148</v>
      </c>
      <c r="B1319" s="8">
        <v>84.407116104869772</v>
      </c>
      <c r="E1319" s="8">
        <v>85.5</v>
      </c>
      <c r="F1319" s="10">
        <f>AVERAGE($E$1098:E1319)</f>
        <v>85.078153153153153</v>
      </c>
      <c r="I1319" s="11">
        <v>3000</v>
      </c>
      <c r="J1319" s="11">
        <v>-2000</v>
      </c>
      <c r="K1319" s="11">
        <v>-1675</v>
      </c>
      <c r="L1319" s="11">
        <f t="shared" si="30"/>
        <v>-3675</v>
      </c>
      <c r="M1319" s="11">
        <f t="shared" si="31"/>
        <v>-675</v>
      </c>
    </row>
    <row r="1320" spans="1:13">
      <c r="A1320" s="7">
        <v>45149</v>
      </c>
      <c r="B1320" s="8">
        <v>84.340449438203109</v>
      </c>
      <c r="E1320" s="8">
        <v>86.5</v>
      </c>
      <c r="F1320" s="10">
        <f>AVERAGE($E$1098:E1320)</f>
        <v>85.084529147982053</v>
      </c>
      <c r="I1320" s="11">
        <v>3000</v>
      </c>
      <c r="J1320" s="11">
        <v>-2000</v>
      </c>
      <c r="K1320" s="11">
        <v>-1444</v>
      </c>
      <c r="L1320" s="11">
        <f t="shared" si="30"/>
        <v>-3444</v>
      </c>
      <c r="M1320" s="11">
        <f t="shared" si="31"/>
        <v>-444</v>
      </c>
    </row>
    <row r="1321" spans="1:13">
      <c r="A1321" s="7">
        <v>45150</v>
      </c>
      <c r="B1321" s="8">
        <v>84.273782771536446</v>
      </c>
      <c r="E1321" s="8">
        <v>87.4</v>
      </c>
      <c r="F1321" s="10">
        <f>AVERAGE($E$1098:E1321)</f>
        <v>85.094866071428569</v>
      </c>
      <c r="I1321" s="11">
        <v>3000</v>
      </c>
      <c r="J1321" s="11">
        <v>-2000</v>
      </c>
      <c r="K1321" s="11">
        <v>-1003</v>
      </c>
      <c r="L1321" s="11">
        <f t="shared" si="30"/>
        <v>-3003</v>
      </c>
      <c r="M1321" s="11">
        <f t="shared" si="31"/>
        <v>-3</v>
      </c>
    </row>
    <row r="1322" spans="1:13">
      <c r="A1322" s="7">
        <v>45151</v>
      </c>
      <c r="B1322" s="8">
        <v>84.207116104869783</v>
      </c>
      <c r="E1322" s="8">
        <v>87.9</v>
      </c>
      <c r="F1322" s="10">
        <f>AVERAGE($E$1098:E1322)</f>
        <v>85.107333333333344</v>
      </c>
      <c r="I1322" s="11">
        <v>3000</v>
      </c>
      <c r="J1322" s="11">
        <v>-2000</v>
      </c>
      <c r="K1322" s="11">
        <v>-970</v>
      </c>
      <c r="L1322" s="11">
        <f t="shared" si="30"/>
        <v>-2970</v>
      </c>
      <c r="M1322" s="11">
        <f t="shared" si="31"/>
        <v>30</v>
      </c>
    </row>
    <row r="1323" spans="1:13">
      <c r="A1323" s="7">
        <v>45152</v>
      </c>
      <c r="B1323" s="8">
        <v>84.14044943820312</v>
      </c>
      <c r="E1323" s="8">
        <v>88.1</v>
      </c>
      <c r="F1323" s="10">
        <f>AVERAGE($E$1098:E1323)</f>
        <v>85.120575221238937</v>
      </c>
      <c r="I1323" s="11">
        <v>3000</v>
      </c>
      <c r="J1323" s="11">
        <v>-2000</v>
      </c>
      <c r="K1323" s="11">
        <v>-1476</v>
      </c>
      <c r="L1323" s="11">
        <f t="shared" si="30"/>
        <v>-3476</v>
      </c>
      <c r="M1323" s="11">
        <f t="shared" si="31"/>
        <v>-476</v>
      </c>
    </row>
    <row r="1324" spans="1:13">
      <c r="A1324" s="7">
        <v>45153</v>
      </c>
      <c r="B1324" s="8">
        <v>84.073782771536457</v>
      </c>
      <c r="E1324" s="8">
        <v>87.9</v>
      </c>
      <c r="F1324" s="10">
        <f>AVERAGE($E$1098:E1324)</f>
        <v>85.132819383259914</v>
      </c>
      <c r="I1324" s="11">
        <v>3000</v>
      </c>
      <c r="J1324" s="11">
        <v>-2000</v>
      </c>
      <c r="K1324" s="11">
        <v>-1479</v>
      </c>
      <c r="L1324" s="11">
        <f t="shared" si="30"/>
        <v>-3479</v>
      </c>
      <c r="M1324" s="11">
        <f t="shared" si="31"/>
        <v>-479</v>
      </c>
    </row>
    <row r="1325" spans="1:13">
      <c r="A1325" s="7">
        <v>45154</v>
      </c>
      <c r="B1325" s="8">
        <v>84.007116104869795</v>
      </c>
      <c r="E1325" s="8">
        <v>89.3</v>
      </c>
      <c r="F1325" s="10">
        <f>AVERAGE($E$1098:E1325)</f>
        <v>85.151096491228074</v>
      </c>
      <c r="I1325" s="11">
        <v>3000</v>
      </c>
      <c r="J1325" s="11">
        <v>-2000</v>
      </c>
      <c r="K1325" s="11">
        <v>-981</v>
      </c>
      <c r="L1325" s="11">
        <f t="shared" si="30"/>
        <v>-2981</v>
      </c>
      <c r="M1325" s="11">
        <f t="shared" si="31"/>
        <v>19</v>
      </c>
    </row>
    <row r="1326" spans="1:13">
      <c r="A1326" s="7">
        <v>45155</v>
      </c>
      <c r="B1326" s="8">
        <v>83.940449438203132</v>
      </c>
      <c r="E1326" s="8">
        <v>89.3</v>
      </c>
      <c r="F1326" s="10">
        <f>AVERAGE($E$1098:E1326)</f>
        <v>85.169213973799131</v>
      </c>
      <c r="I1326" s="11">
        <v>3000</v>
      </c>
      <c r="J1326" s="11">
        <v>-2000</v>
      </c>
      <c r="K1326" s="11">
        <v>-665</v>
      </c>
      <c r="L1326" s="11">
        <f t="shared" si="30"/>
        <v>-2665</v>
      </c>
      <c r="M1326" s="11">
        <f t="shared" si="31"/>
        <v>335</v>
      </c>
    </row>
    <row r="1327" spans="1:13">
      <c r="A1327" s="7">
        <v>45156</v>
      </c>
      <c r="B1327" s="8">
        <v>83.873782771536469</v>
      </c>
      <c r="E1327" s="8">
        <v>88.8</v>
      </c>
      <c r="F1327" s="10">
        <f>AVERAGE($E$1098:E1327)</f>
        <v>85.185000000000002</v>
      </c>
      <c r="I1327" s="11">
        <v>3000</v>
      </c>
      <c r="J1327" s="11">
        <v>-2000</v>
      </c>
      <c r="K1327" s="11">
        <v>-583</v>
      </c>
      <c r="L1327" s="11">
        <f t="shared" si="30"/>
        <v>-2583</v>
      </c>
      <c r="M1327" s="11">
        <f t="shared" si="31"/>
        <v>417</v>
      </c>
    </row>
    <row r="1328" spans="1:13">
      <c r="A1328" s="7">
        <v>45157</v>
      </c>
      <c r="B1328" s="8">
        <v>83.807116104869806</v>
      </c>
      <c r="E1328" s="8">
        <v>88.2</v>
      </c>
      <c r="F1328" s="10">
        <f>AVERAGE($E$1098:E1328)</f>
        <v>85.198051948051955</v>
      </c>
      <c r="I1328" s="11">
        <v>3000</v>
      </c>
      <c r="J1328" s="11">
        <v>-2000</v>
      </c>
      <c r="K1328" s="11">
        <v>-1110</v>
      </c>
      <c r="L1328" s="11">
        <f t="shared" si="30"/>
        <v>-3110</v>
      </c>
      <c r="M1328" s="11">
        <f t="shared" si="31"/>
        <v>-110</v>
      </c>
    </row>
    <row r="1329" spans="1:13">
      <c r="A1329" s="7">
        <v>45158</v>
      </c>
      <c r="B1329" s="8">
        <v>83.740449438203143</v>
      </c>
      <c r="E1329" s="8">
        <v>88.9</v>
      </c>
      <c r="F1329" s="10">
        <f>AVERAGE($E$1098:E1329)</f>
        <v>85.214008620689668</v>
      </c>
      <c r="I1329" s="11">
        <v>3000</v>
      </c>
      <c r="J1329" s="11">
        <v>-2000</v>
      </c>
      <c r="K1329" s="11">
        <v>-2359</v>
      </c>
      <c r="L1329" s="11">
        <f t="shared" si="30"/>
        <v>-4359</v>
      </c>
      <c r="M1329" s="11">
        <f t="shared" si="31"/>
        <v>-1359</v>
      </c>
    </row>
    <row r="1330" spans="1:13">
      <c r="A1330" s="7">
        <v>45159</v>
      </c>
      <c r="B1330" s="8">
        <v>83.67378277153648</v>
      </c>
      <c r="E1330" s="8">
        <v>88.6</v>
      </c>
      <c r="F1330" s="10">
        <f>AVERAGE($E$1098:E1330)</f>
        <v>85.228540772532185</v>
      </c>
      <c r="I1330" s="11">
        <v>3000</v>
      </c>
      <c r="J1330" s="11">
        <v>-2000</v>
      </c>
      <c r="K1330" s="11">
        <v>-722</v>
      </c>
      <c r="L1330" s="11">
        <f t="shared" si="30"/>
        <v>-2722</v>
      </c>
      <c r="M1330" s="11">
        <f t="shared" si="31"/>
        <v>278</v>
      </c>
    </row>
    <row r="1331" spans="1:13">
      <c r="A1331" s="7">
        <v>45160</v>
      </c>
      <c r="B1331" s="8">
        <v>83.607116104869817</v>
      </c>
      <c r="E1331" s="8">
        <v>88.6</v>
      </c>
      <c r="F1331" s="10">
        <f>AVERAGE($E$1098:E1331)</f>
        <v>85.242948717948707</v>
      </c>
      <c r="I1331" s="11">
        <v>3000</v>
      </c>
      <c r="J1331" s="11">
        <v>-2000</v>
      </c>
      <c r="K1331" s="11">
        <v>-923</v>
      </c>
      <c r="L1331" s="11">
        <f t="shared" si="30"/>
        <v>-2923</v>
      </c>
      <c r="M1331" s="11">
        <f t="shared" si="31"/>
        <v>77</v>
      </c>
    </row>
    <row r="1332" spans="1:13">
      <c r="A1332" s="7">
        <v>45161</v>
      </c>
      <c r="B1332" s="8">
        <v>83.540449438203154</v>
      </c>
      <c r="E1332" s="8">
        <v>88.5</v>
      </c>
      <c r="F1332" s="10">
        <f>AVERAGE($E$1098:E1332)</f>
        <v>85.256808510638294</v>
      </c>
      <c r="I1332" s="11">
        <v>3000</v>
      </c>
      <c r="J1332" s="11">
        <v>-2000</v>
      </c>
      <c r="K1332" s="11">
        <v>-621</v>
      </c>
      <c r="L1332" s="11">
        <f t="shared" si="30"/>
        <v>-2621</v>
      </c>
      <c r="M1332" s="11">
        <f t="shared" si="31"/>
        <v>379</v>
      </c>
    </row>
    <row r="1333" spans="1:13">
      <c r="A1333" s="7">
        <v>45162</v>
      </c>
      <c r="B1333" s="8">
        <v>83.473782771536492</v>
      </c>
      <c r="E1333" s="8">
        <v>88.1</v>
      </c>
      <c r="F1333" s="10">
        <f>AVERAGE($E$1098:E1333)</f>
        <v>85.26885593220338</v>
      </c>
      <c r="I1333" s="11">
        <v>3000</v>
      </c>
      <c r="J1333" s="11">
        <v>-2000</v>
      </c>
      <c r="K1333" s="11">
        <v>-2698</v>
      </c>
      <c r="L1333" s="11">
        <f t="shared" si="30"/>
        <v>-4698</v>
      </c>
      <c r="M1333" s="11">
        <f t="shared" si="31"/>
        <v>-1698</v>
      </c>
    </row>
    <row r="1334" spans="1:13">
      <c r="A1334" s="7">
        <v>45163</v>
      </c>
      <c r="B1334" s="8">
        <v>83.407116104869829</v>
      </c>
      <c r="E1334" s="8">
        <v>87.6</v>
      </c>
      <c r="F1334" s="10">
        <f>AVERAGE($E$1098:E1334)</f>
        <v>85.278691983122343</v>
      </c>
      <c r="I1334" s="11">
        <v>3000</v>
      </c>
      <c r="J1334" s="11">
        <v>-2000</v>
      </c>
      <c r="K1334" s="11">
        <v>-526</v>
      </c>
      <c r="L1334" s="11">
        <f t="shared" si="30"/>
        <v>-2526</v>
      </c>
      <c r="M1334" s="11">
        <f t="shared" si="31"/>
        <v>474</v>
      </c>
    </row>
    <row r="1335" spans="1:13">
      <c r="A1335" s="7">
        <v>45164</v>
      </c>
      <c r="B1335" s="8">
        <v>83.340449438203166</v>
      </c>
      <c r="E1335" s="8">
        <v>87.7</v>
      </c>
      <c r="F1335" s="10">
        <f>AVERAGE($E$1098:E1335)</f>
        <v>85.288865546218474</v>
      </c>
      <c r="I1335" s="11">
        <v>3000</v>
      </c>
      <c r="J1335" s="11">
        <v>-2000</v>
      </c>
      <c r="K1335" s="11">
        <v>-535</v>
      </c>
      <c r="L1335" s="11">
        <f t="shared" si="30"/>
        <v>-2535</v>
      </c>
      <c r="M1335" s="11">
        <f t="shared" si="31"/>
        <v>465</v>
      </c>
    </row>
    <row r="1336" spans="1:13">
      <c r="A1336" s="7">
        <v>45165</v>
      </c>
      <c r="B1336" s="8">
        <v>83.273782771536503</v>
      </c>
      <c r="E1336" s="8">
        <v>89</v>
      </c>
      <c r="F1336" s="10">
        <f>AVERAGE($E$1098:E1336)</f>
        <v>85.304393305439319</v>
      </c>
      <c r="I1336" s="11">
        <v>3000</v>
      </c>
      <c r="J1336" s="11">
        <v>-2000</v>
      </c>
      <c r="K1336" s="11">
        <v>-443</v>
      </c>
      <c r="L1336" s="11">
        <f t="shared" si="30"/>
        <v>-2443</v>
      </c>
      <c r="M1336" s="11">
        <f t="shared" si="31"/>
        <v>557</v>
      </c>
    </row>
    <row r="1337" spans="1:13">
      <c r="A1337" s="7">
        <v>45166</v>
      </c>
      <c r="B1337" s="8">
        <v>83.20711610486984</v>
      </c>
      <c r="E1337" s="8">
        <v>88.5</v>
      </c>
      <c r="F1337" s="10">
        <f>AVERAGE($E$1098:E1337)</f>
        <v>85.317708333333314</v>
      </c>
      <c r="I1337" s="11">
        <v>3000</v>
      </c>
      <c r="J1337" s="11">
        <v>-2000</v>
      </c>
      <c r="K1337" s="11">
        <v>-1181</v>
      </c>
      <c r="L1337" s="11">
        <f t="shared" si="30"/>
        <v>-3181</v>
      </c>
      <c r="M1337" s="11">
        <f t="shared" si="31"/>
        <v>-181</v>
      </c>
    </row>
    <row r="1338" spans="1:13">
      <c r="A1338" s="7">
        <v>45167</v>
      </c>
      <c r="B1338" s="8">
        <v>83.140449438203177</v>
      </c>
      <c r="E1338" s="8">
        <v>87.6</v>
      </c>
      <c r="F1338" s="10">
        <f>AVERAGE($E$1098:E1338)</f>
        <v>85.327178423236489</v>
      </c>
      <c r="I1338" s="11">
        <v>3000</v>
      </c>
      <c r="J1338" s="11">
        <v>-2000</v>
      </c>
      <c r="K1338" s="11">
        <v>-665</v>
      </c>
      <c r="L1338" s="11">
        <f t="shared" si="30"/>
        <v>-2665</v>
      </c>
      <c r="M1338" s="11">
        <f t="shared" si="31"/>
        <v>335</v>
      </c>
    </row>
    <row r="1339" spans="1:13">
      <c r="A1339" s="7">
        <v>45168</v>
      </c>
      <c r="B1339" s="8">
        <v>83.073782771536514</v>
      </c>
      <c r="E1339" s="8">
        <v>89.1</v>
      </c>
      <c r="F1339" s="10">
        <f>AVERAGE($E$1098:E1339)</f>
        <v>85.342768595041292</v>
      </c>
      <c r="I1339" s="11">
        <v>3000</v>
      </c>
      <c r="J1339" s="11">
        <v>-2000</v>
      </c>
      <c r="K1339" s="11">
        <v>-496</v>
      </c>
      <c r="L1339" s="11">
        <f t="shared" si="30"/>
        <v>-2496</v>
      </c>
      <c r="M1339" s="11">
        <f t="shared" si="31"/>
        <v>504</v>
      </c>
    </row>
    <row r="1340" spans="1:13">
      <c r="A1340" s="7">
        <v>45169</v>
      </c>
      <c r="B1340" s="8">
        <v>83.007116104869851</v>
      </c>
      <c r="E1340" s="8">
        <v>88.8</v>
      </c>
      <c r="F1340" s="10">
        <f>AVERAGE($E$1098:E1340)</f>
        <v>85.356995884773639</v>
      </c>
      <c r="I1340" s="11">
        <v>3000</v>
      </c>
      <c r="J1340" s="11">
        <v>-2000</v>
      </c>
      <c r="K1340" s="11">
        <v>-2554</v>
      </c>
      <c r="L1340" s="11">
        <f t="shared" si="30"/>
        <v>-4554</v>
      </c>
      <c r="M1340" s="11">
        <f t="shared" si="31"/>
        <v>-1554</v>
      </c>
    </row>
    <row r="1341" spans="1:13">
      <c r="A1341" s="7">
        <v>45170</v>
      </c>
      <c r="B1341" s="8">
        <v>87.957116104869854</v>
      </c>
      <c r="E1341" s="8">
        <v>88</v>
      </c>
      <c r="F1341" s="10">
        <f>AVERAGE($E$1098:E1341)</f>
        <v>85.36782786885243</v>
      </c>
      <c r="I1341" s="11">
        <v>3000</v>
      </c>
      <c r="J1341" s="11">
        <v>-2000</v>
      </c>
      <c r="K1341" s="11">
        <v>-497</v>
      </c>
      <c r="L1341" s="11">
        <f t="shared" si="30"/>
        <v>-2497</v>
      </c>
      <c r="M1341" s="11">
        <f t="shared" si="31"/>
        <v>503</v>
      </c>
    </row>
    <row r="1342" spans="1:13">
      <c r="A1342" s="7">
        <v>45171</v>
      </c>
      <c r="B1342" s="8">
        <v>87.85366782900779</v>
      </c>
      <c r="E1342" s="8">
        <v>88.2</v>
      </c>
      <c r="F1342" s="10">
        <f>AVERAGE($E$1098:E1342)</f>
        <v>85.379387755102016</v>
      </c>
      <c r="I1342" s="11">
        <v>3000</v>
      </c>
      <c r="J1342" s="11">
        <v>-2000</v>
      </c>
      <c r="K1342" s="11">
        <v>-1093</v>
      </c>
      <c r="L1342" s="11">
        <f t="shared" si="30"/>
        <v>-3093</v>
      </c>
      <c r="M1342" s="11">
        <f t="shared" si="31"/>
        <v>-93</v>
      </c>
    </row>
    <row r="1343" spans="1:13">
      <c r="A1343" s="7">
        <v>45172</v>
      </c>
      <c r="B1343" s="8">
        <v>87.750219553145726</v>
      </c>
      <c r="E1343" s="8">
        <v>88.4</v>
      </c>
      <c r="F1343" s="10">
        <f>AVERAGE($E$1098:E1343)</f>
        <v>85.391666666666652</v>
      </c>
      <c r="I1343" s="11">
        <v>3000</v>
      </c>
      <c r="J1343" s="11">
        <v>-2000</v>
      </c>
      <c r="K1343" s="11">
        <v>-1177</v>
      </c>
      <c r="L1343" s="11">
        <f t="shared" si="30"/>
        <v>-3177</v>
      </c>
      <c r="M1343" s="11">
        <f t="shared" si="31"/>
        <v>-177</v>
      </c>
    </row>
    <row r="1344" spans="1:13">
      <c r="A1344" s="7">
        <v>45173</v>
      </c>
      <c r="B1344" s="8">
        <v>87.646771277283662</v>
      </c>
      <c r="E1344" s="8">
        <v>88.5</v>
      </c>
      <c r="F1344" s="10">
        <f>AVERAGE($E$1098:E1344)</f>
        <v>85.404251012145735</v>
      </c>
      <c r="I1344" s="11">
        <v>3000</v>
      </c>
      <c r="J1344" s="11">
        <v>-2000</v>
      </c>
      <c r="K1344" s="11">
        <v>-717</v>
      </c>
      <c r="L1344" s="11">
        <f t="shared" si="30"/>
        <v>-2717</v>
      </c>
      <c r="M1344" s="11">
        <f t="shared" si="31"/>
        <v>283</v>
      </c>
    </row>
    <row r="1345" spans="1:13">
      <c r="A1345" s="7">
        <v>45174</v>
      </c>
      <c r="B1345" s="8">
        <v>87.543323001421598</v>
      </c>
      <c r="E1345" s="8">
        <v>88.4</v>
      </c>
      <c r="F1345" s="10">
        <f>AVERAGE($E$1098:E1345)</f>
        <v>85.416330645161281</v>
      </c>
      <c r="I1345" s="11">
        <v>3000</v>
      </c>
      <c r="J1345" s="11">
        <v>-2000</v>
      </c>
      <c r="K1345" s="11">
        <v>-1072</v>
      </c>
      <c r="L1345" s="11">
        <f t="shared" si="30"/>
        <v>-3072</v>
      </c>
      <c r="M1345" s="11">
        <f t="shared" si="31"/>
        <v>-72</v>
      </c>
    </row>
    <row r="1346" spans="1:13">
      <c r="A1346" s="7">
        <v>45175</v>
      </c>
      <c r="B1346" s="8">
        <v>87.439874725559534</v>
      </c>
      <c r="E1346" s="8">
        <v>88</v>
      </c>
      <c r="F1346" s="10">
        <f>AVERAGE($E$1098:E1346)</f>
        <v>85.426706827309218</v>
      </c>
      <c r="I1346" s="11">
        <v>3000</v>
      </c>
      <c r="J1346" s="11">
        <v>-2000</v>
      </c>
      <c r="K1346" s="11">
        <v>-574</v>
      </c>
      <c r="L1346" s="11">
        <f t="shared" si="30"/>
        <v>-2574</v>
      </c>
      <c r="M1346" s="11">
        <f t="shared" si="31"/>
        <v>426</v>
      </c>
    </row>
    <row r="1347" spans="1:13">
      <c r="A1347" s="7">
        <v>45176</v>
      </c>
      <c r="B1347" s="8">
        <v>87.33642644969747</v>
      </c>
      <c r="E1347" s="8">
        <v>88.8</v>
      </c>
      <c r="F1347" s="10">
        <f>AVERAGE($E$1098:E1347)</f>
        <v>85.440199999999976</v>
      </c>
      <c r="I1347" s="11">
        <v>3000</v>
      </c>
      <c r="J1347" s="11">
        <v>-2000</v>
      </c>
      <c r="K1347" s="11">
        <v>-654</v>
      </c>
      <c r="L1347" s="11">
        <f t="shared" si="30"/>
        <v>-2654</v>
      </c>
      <c r="M1347" s="11">
        <f t="shared" si="31"/>
        <v>346</v>
      </c>
    </row>
    <row r="1348" spans="1:13">
      <c r="A1348" s="7">
        <v>45177</v>
      </c>
      <c r="B1348" s="8">
        <v>87.232978173835406</v>
      </c>
      <c r="E1348" s="8">
        <v>89.1</v>
      </c>
      <c r="F1348" s="10">
        <f>AVERAGE($E$1098:E1348)</f>
        <v>85.454780876493999</v>
      </c>
      <c r="I1348" s="11">
        <v>3000</v>
      </c>
      <c r="J1348" s="11">
        <v>-2000</v>
      </c>
      <c r="K1348" s="11">
        <v>-1032</v>
      </c>
      <c r="L1348" s="11">
        <f t="shared" si="30"/>
        <v>-3032</v>
      </c>
      <c r="M1348" s="11">
        <f t="shared" si="31"/>
        <v>-32</v>
      </c>
    </row>
    <row r="1349" spans="1:13">
      <c r="A1349" s="7">
        <v>45178</v>
      </c>
      <c r="B1349" s="8">
        <v>87.129529897973342</v>
      </c>
      <c r="E1349" s="8">
        <v>87.7</v>
      </c>
      <c r="F1349" s="10">
        <f>AVERAGE($E$1098:E1349)</f>
        <v>85.46369047619045</v>
      </c>
      <c r="I1349" s="11">
        <v>3000</v>
      </c>
      <c r="J1349" s="11">
        <v>-2000</v>
      </c>
      <c r="K1349" s="11">
        <v>-951</v>
      </c>
      <c r="L1349" s="11">
        <f t="shared" si="30"/>
        <v>-2951</v>
      </c>
      <c r="M1349" s="11">
        <f t="shared" si="31"/>
        <v>49</v>
      </c>
    </row>
    <row r="1350" spans="1:13">
      <c r="A1350" s="7">
        <v>45179</v>
      </c>
      <c r="B1350" s="8">
        <v>87.026081622111278</v>
      </c>
      <c r="E1350" s="8">
        <v>88.8</v>
      </c>
      <c r="F1350" s="10">
        <f>AVERAGE($E$1098:E1350)</f>
        <v>85.476877470355703</v>
      </c>
      <c r="I1350" s="11">
        <v>3000</v>
      </c>
      <c r="J1350" s="11">
        <v>-2000</v>
      </c>
      <c r="K1350" s="11">
        <v>-2403</v>
      </c>
      <c r="L1350" s="11">
        <f t="shared" si="30"/>
        <v>-4403</v>
      </c>
      <c r="M1350" s="11">
        <f t="shared" si="31"/>
        <v>-1403</v>
      </c>
    </row>
    <row r="1351" spans="1:13">
      <c r="A1351" s="7">
        <v>45180</v>
      </c>
      <c r="B1351" s="8">
        <v>86.922633346249214</v>
      </c>
      <c r="E1351" s="8">
        <v>88.2</v>
      </c>
      <c r="F1351" s="10">
        <f>AVERAGE($E$1098:E1351)</f>
        <v>85.487598425196836</v>
      </c>
      <c r="I1351" s="11">
        <v>3000</v>
      </c>
      <c r="J1351" s="11">
        <v>-2000</v>
      </c>
      <c r="K1351" s="11">
        <v>-994</v>
      </c>
      <c r="L1351" s="11">
        <f t="shared" si="30"/>
        <v>-2994</v>
      </c>
      <c r="M1351" s="11">
        <f t="shared" si="31"/>
        <v>6</v>
      </c>
    </row>
    <row r="1352" spans="1:13">
      <c r="A1352" s="7">
        <v>45181</v>
      </c>
      <c r="B1352" s="8">
        <v>86.819185070387149</v>
      </c>
      <c r="E1352" s="8">
        <v>87.9</v>
      </c>
      <c r="F1352" s="10">
        <f>AVERAGE($E$1098:E1352)</f>
        <v>85.4970588235294</v>
      </c>
      <c r="I1352" s="11">
        <v>3000</v>
      </c>
      <c r="J1352" s="11">
        <v>-2000</v>
      </c>
      <c r="K1352" s="11">
        <v>-1163</v>
      </c>
      <c r="L1352" s="11">
        <f t="shared" si="30"/>
        <v>-3163</v>
      </c>
      <c r="M1352" s="11">
        <f t="shared" si="31"/>
        <v>-163</v>
      </c>
    </row>
    <row r="1353" spans="1:13">
      <c r="A1353" s="7">
        <v>45182</v>
      </c>
      <c r="B1353" s="8">
        <v>86.715736794525085</v>
      </c>
      <c r="E1353" s="8">
        <v>88.4</v>
      </c>
      <c r="F1353" s="10">
        <f>AVERAGE($E$1098:E1353)</f>
        <v>85.508398437499991</v>
      </c>
      <c r="I1353" s="11">
        <v>3000</v>
      </c>
      <c r="J1353" s="11">
        <v>-2000</v>
      </c>
      <c r="K1353" s="11">
        <v>-663</v>
      </c>
      <c r="L1353" s="11">
        <f t="shared" si="30"/>
        <v>-2663</v>
      </c>
      <c r="M1353" s="11">
        <f t="shared" si="31"/>
        <v>337</v>
      </c>
    </row>
    <row r="1354" spans="1:13">
      <c r="A1354" s="7">
        <v>45183</v>
      </c>
      <c r="B1354" s="8">
        <v>86.612288518663021</v>
      </c>
      <c r="E1354" s="8">
        <v>88.4</v>
      </c>
      <c r="F1354" s="10">
        <f>AVERAGE($E$1098:E1354)</f>
        <v>85.519649805447472</v>
      </c>
      <c r="I1354" s="11">
        <v>3000</v>
      </c>
      <c r="J1354" s="11">
        <v>-2000</v>
      </c>
      <c r="K1354" s="11">
        <v>-1114</v>
      </c>
      <c r="L1354" s="11">
        <f t="shared" si="30"/>
        <v>-3114</v>
      </c>
      <c r="M1354" s="11">
        <f t="shared" si="31"/>
        <v>-114</v>
      </c>
    </row>
    <row r="1355" spans="1:13">
      <c r="A1355" s="7">
        <v>45184</v>
      </c>
      <c r="B1355" s="8">
        <v>86.508840242800957</v>
      </c>
      <c r="E1355" s="8">
        <v>87</v>
      </c>
      <c r="F1355" s="10">
        <f>AVERAGE($E$1098:E1355)</f>
        <v>85.525387596899222</v>
      </c>
      <c r="I1355" s="11">
        <v>3000</v>
      </c>
      <c r="J1355" s="11">
        <v>-2000</v>
      </c>
      <c r="K1355" s="11">
        <v>-719</v>
      </c>
      <c r="L1355" s="11">
        <f t="shared" si="30"/>
        <v>-2719</v>
      </c>
      <c r="M1355" s="11">
        <f t="shared" si="31"/>
        <v>281</v>
      </c>
    </row>
    <row r="1356" spans="1:13">
      <c r="A1356" s="7">
        <v>45185</v>
      </c>
      <c r="B1356" s="8">
        <v>86.405391966938893</v>
      </c>
      <c r="E1356" s="8">
        <v>86.9</v>
      </c>
      <c r="F1356" s="10">
        <f>AVERAGE($E$1098:E1356)</f>
        <v>85.530694980694989</v>
      </c>
      <c r="I1356" s="11">
        <v>3000</v>
      </c>
      <c r="J1356" s="11">
        <v>-2000</v>
      </c>
      <c r="K1356" s="11">
        <v>-2169</v>
      </c>
      <c r="L1356" s="11">
        <f t="shared" si="30"/>
        <v>-4169</v>
      </c>
      <c r="M1356" s="11">
        <f t="shared" si="31"/>
        <v>-1169</v>
      </c>
    </row>
    <row r="1357" spans="1:13">
      <c r="A1357" s="7">
        <v>45186</v>
      </c>
      <c r="B1357" s="8">
        <v>86.301943691076829</v>
      </c>
      <c r="E1357" s="8">
        <v>87.7</v>
      </c>
      <c r="F1357" s="10">
        <f>AVERAGE($E$1098:E1357)</f>
        <v>85.539038461538468</v>
      </c>
      <c r="I1357" s="11">
        <v>3000</v>
      </c>
      <c r="J1357" s="11">
        <v>-2000</v>
      </c>
      <c r="K1357" s="11">
        <v>-674</v>
      </c>
      <c r="L1357" s="11">
        <f t="shared" si="30"/>
        <v>-2674</v>
      </c>
      <c r="M1357" s="11">
        <f t="shared" si="31"/>
        <v>326</v>
      </c>
    </row>
    <row r="1358" spans="1:13">
      <c r="A1358" s="7">
        <v>45187</v>
      </c>
      <c r="B1358" s="8">
        <v>86.198495415214765</v>
      </c>
      <c r="E1358" s="8">
        <v>88.5</v>
      </c>
      <c r="F1358" s="10">
        <f>AVERAGE($E$1098:E1358)</f>
        <v>85.550383141762453</v>
      </c>
      <c r="I1358" s="11">
        <v>3000</v>
      </c>
      <c r="J1358" s="11">
        <v>-2000</v>
      </c>
      <c r="K1358" s="11">
        <v>-981</v>
      </c>
      <c r="L1358" s="11">
        <f t="shared" si="30"/>
        <v>-2981</v>
      </c>
      <c r="M1358" s="11">
        <f t="shared" si="31"/>
        <v>19</v>
      </c>
    </row>
    <row r="1359" spans="1:13">
      <c r="A1359" s="7">
        <v>45188</v>
      </c>
      <c r="B1359" s="8">
        <v>86.095047139352701</v>
      </c>
      <c r="E1359" s="8">
        <v>87.7</v>
      </c>
      <c r="F1359" s="10">
        <f>AVERAGE($E$1098:E1359)</f>
        <v>85.558587786259551</v>
      </c>
      <c r="I1359" s="11">
        <v>3000</v>
      </c>
      <c r="J1359" s="11">
        <v>-2000</v>
      </c>
      <c r="K1359" s="11">
        <v>-866</v>
      </c>
      <c r="L1359" s="11">
        <f t="shared" si="30"/>
        <v>-2866</v>
      </c>
      <c r="M1359" s="11">
        <f t="shared" si="31"/>
        <v>134</v>
      </c>
    </row>
    <row r="1360" spans="1:13">
      <c r="A1360" s="7">
        <v>45189</v>
      </c>
      <c r="B1360" s="8">
        <v>85.991598863490637</v>
      </c>
      <c r="E1360" s="8">
        <v>87.6</v>
      </c>
      <c r="F1360" s="10">
        <f>AVERAGE($E$1098:E1360)</f>
        <v>85.566349809885935</v>
      </c>
      <c r="I1360" s="11">
        <v>3000</v>
      </c>
      <c r="J1360" s="11">
        <v>-2000</v>
      </c>
      <c r="K1360" s="11">
        <v>-858</v>
      </c>
      <c r="L1360" s="11">
        <f t="shared" si="30"/>
        <v>-2858</v>
      </c>
      <c r="M1360" s="11">
        <f t="shared" si="31"/>
        <v>142</v>
      </c>
    </row>
    <row r="1361" spans="1:13">
      <c r="A1361" s="7">
        <v>45190</v>
      </c>
      <c r="B1361" s="8">
        <v>85.888150587628573</v>
      </c>
      <c r="E1361" s="8">
        <v>88.2</v>
      </c>
      <c r="F1361" s="10">
        <f>AVERAGE($E$1098:E1361)</f>
        <v>85.576325757575759</v>
      </c>
      <c r="I1361" s="11">
        <v>3000</v>
      </c>
      <c r="J1361" s="11">
        <v>-2000</v>
      </c>
      <c r="K1361" s="11">
        <v>-633</v>
      </c>
      <c r="L1361" s="11">
        <f t="shared" si="30"/>
        <v>-2633</v>
      </c>
      <c r="M1361" s="11">
        <f t="shared" si="31"/>
        <v>367</v>
      </c>
    </row>
    <row r="1362" spans="1:13">
      <c r="A1362" s="7">
        <v>45191</v>
      </c>
      <c r="B1362" s="8">
        <v>85.784702311766509</v>
      </c>
      <c r="E1362" s="8">
        <v>87.8</v>
      </c>
      <c r="F1362" s="10">
        <f>AVERAGE($E$1098:E1362)</f>
        <v>85.584716981132075</v>
      </c>
      <c r="I1362" s="11">
        <v>3000</v>
      </c>
      <c r="J1362" s="11">
        <v>-2000</v>
      </c>
      <c r="K1362" s="11">
        <v>-980</v>
      </c>
      <c r="L1362" s="11">
        <f t="shared" si="30"/>
        <v>-2980</v>
      </c>
      <c r="M1362" s="11">
        <f t="shared" si="31"/>
        <v>20</v>
      </c>
    </row>
    <row r="1363" spans="1:13">
      <c r="A1363" s="7">
        <v>45192</v>
      </c>
      <c r="B1363" s="8">
        <v>85.681254035904445</v>
      </c>
      <c r="E1363" s="8">
        <v>86.9</v>
      </c>
      <c r="F1363" s="10">
        <f>AVERAGE($E$1098:E1363)</f>
        <v>85.589661654135341</v>
      </c>
      <c r="I1363" s="11">
        <v>3000</v>
      </c>
      <c r="J1363" s="11">
        <v>-2000</v>
      </c>
      <c r="K1363" s="11">
        <v>-484</v>
      </c>
      <c r="L1363" s="11">
        <f t="shared" si="30"/>
        <v>-2484</v>
      </c>
      <c r="M1363" s="11">
        <f t="shared" si="31"/>
        <v>516</v>
      </c>
    </row>
    <row r="1364" spans="1:13">
      <c r="A1364" s="7">
        <v>45193</v>
      </c>
      <c r="B1364" s="8">
        <v>85.577805760042381</v>
      </c>
      <c r="E1364" s="8">
        <v>87</v>
      </c>
      <c r="F1364" s="10">
        <f>AVERAGE($E$1098:E1364)</f>
        <v>85.594943820224728</v>
      </c>
      <c r="I1364" s="11">
        <v>3000</v>
      </c>
      <c r="J1364" s="11">
        <v>-2000</v>
      </c>
      <c r="K1364" s="11">
        <v>-1503</v>
      </c>
      <c r="L1364" s="11">
        <f t="shared" si="30"/>
        <v>-3503</v>
      </c>
      <c r="M1364" s="11">
        <f t="shared" si="31"/>
        <v>-503</v>
      </c>
    </row>
    <row r="1365" spans="1:13">
      <c r="A1365" s="7">
        <v>45194</v>
      </c>
      <c r="B1365" s="8">
        <v>85.474357484180317</v>
      </c>
      <c r="E1365" s="8">
        <v>87.1</v>
      </c>
      <c r="F1365" s="10">
        <f>AVERAGE($E$1098:E1365)</f>
        <v>85.600559701492543</v>
      </c>
      <c r="I1365" s="11">
        <v>3000</v>
      </c>
      <c r="J1365" s="11">
        <v>-2000</v>
      </c>
      <c r="K1365" s="11">
        <v>-643</v>
      </c>
      <c r="L1365" s="11">
        <f t="shared" si="30"/>
        <v>-2643</v>
      </c>
      <c r="M1365" s="11">
        <f t="shared" si="31"/>
        <v>357</v>
      </c>
    </row>
    <row r="1366" spans="1:13">
      <c r="A1366" s="7">
        <v>45195</v>
      </c>
      <c r="B1366" s="8">
        <v>85.370909208318253</v>
      </c>
      <c r="E1366" s="8">
        <v>87.2</v>
      </c>
      <c r="F1366" s="10">
        <f>AVERAGE($E$1098:E1366)</f>
        <v>85.606505576208178</v>
      </c>
      <c r="I1366" s="11">
        <v>3000</v>
      </c>
      <c r="J1366" s="11">
        <v>-2000</v>
      </c>
      <c r="K1366" s="11">
        <v>-1333</v>
      </c>
      <c r="L1366" s="11">
        <f t="shared" si="30"/>
        <v>-3333</v>
      </c>
      <c r="M1366" s="11">
        <f t="shared" si="31"/>
        <v>-333</v>
      </c>
    </row>
    <row r="1367" spans="1:13">
      <c r="A1367" s="7">
        <v>45196</v>
      </c>
      <c r="B1367" s="8">
        <v>85.267460932456189</v>
      </c>
      <c r="E1367" s="8">
        <v>86.4</v>
      </c>
      <c r="F1367" s="10">
        <f>AVERAGE($E$1098:E1367)</f>
        <v>85.609444444444449</v>
      </c>
      <c r="I1367" s="11">
        <v>3000</v>
      </c>
      <c r="J1367" s="11">
        <v>-2000</v>
      </c>
      <c r="K1367" s="11">
        <v>-710</v>
      </c>
      <c r="L1367" s="11">
        <f t="shared" si="30"/>
        <v>-2710</v>
      </c>
      <c r="M1367" s="11">
        <f t="shared" si="31"/>
        <v>290</v>
      </c>
    </row>
    <row r="1368" spans="1:13">
      <c r="A1368" s="7">
        <v>45197</v>
      </c>
      <c r="B1368" s="8">
        <v>85.164012656594124</v>
      </c>
      <c r="E1368" s="8">
        <v>86.2</v>
      </c>
      <c r="F1368" s="10">
        <f>AVERAGE($E$1098:E1368)</f>
        <v>85.611623616236173</v>
      </c>
      <c r="I1368" s="11">
        <v>3000</v>
      </c>
      <c r="J1368" s="11">
        <v>-2000</v>
      </c>
      <c r="K1368" s="11">
        <v>-640</v>
      </c>
      <c r="L1368" s="11">
        <f t="shared" si="30"/>
        <v>-2640</v>
      </c>
      <c r="M1368" s="11">
        <f t="shared" si="31"/>
        <v>360</v>
      </c>
    </row>
    <row r="1369" spans="1:13">
      <c r="A1369" s="7">
        <v>45198</v>
      </c>
      <c r="B1369" s="8">
        <v>85.06056438073206</v>
      </c>
      <c r="E1369" s="8">
        <v>86.6</v>
      </c>
      <c r="F1369" s="10">
        <f>AVERAGE($E$1098:E1369)</f>
        <v>85.615257352941185</v>
      </c>
      <c r="I1369" s="11">
        <v>3000</v>
      </c>
      <c r="J1369" s="11">
        <v>-2000</v>
      </c>
      <c r="K1369" s="11">
        <v>-1067</v>
      </c>
      <c r="L1369" s="11">
        <f t="shared" si="30"/>
        <v>-3067</v>
      </c>
      <c r="M1369" s="11">
        <f t="shared" si="31"/>
        <v>-67</v>
      </c>
    </row>
    <row r="1370" spans="1:13">
      <c r="A1370" s="7">
        <v>45199</v>
      </c>
      <c r="B1370" s="8">
        <v>84.957116104869996</v>
      </c>
      <c r="E1370" s="8">
        <v>87</v>
      </c>
      <c r="F1370" s="10">
        <f>AVERAGE($E$1098:E1370)</f>
        <v>85.620329670329681</v>
      </c>
      <c r="I1370" s="11">
        <v>3000</v>
      </c>
      <c r="J1370" s="11">
        <v>-2000</v>
      </c>
      <c r="K1370" s="11">
        <v>-791</v>
      </c>
      <c r="L1370" s="11">
        <f t="shared" si="30"/>
        <v>-2791</v>
      </c>
      <c r="M1370" s="11">
        <f t="shared" si="31"/>
        <v>209</v>
      </c>
    </row>
    <row r="1371" spans="1:13">
      <c r="A1371" s="7">
        <v>45200</v>
      </c>
      <c r="B1371" s="8">
        <v>86.990449438203328</v>
      </c>
      <c r="E1371" s="8">
        <v>87.5</v>
      </c>
      <c r="F1371" s="10">
        <f>AVERAGE($E$1098:E1371)</f>
        <v>85.627189781021912</v>
      </c>
      <c r="I1371" s="11">
        <v>3000</v>
      </c>
      <c r="J1371" s="11">
        <v>-2000</v>
      </c>
      <c r="K1371" s="11">
        <v>-573</v>
      </c>
      <c r="L1371" s="11">
        <f t="shared" si="30"/>
        <v>-2573</v>
      </c>
      <c r="M1371" s="11">
        <f t="shared" si="31"/>
        <v>427</v>
      </c>
    </row>
    <row r="1372" spans="1:13">
      <c r="A1372" s="7">
        <v>45201</v>
      </c>
      <c r="B1372" s="8">
        <v>86.923782771536665</v>
      </c>
      <c r="E1372" s="8">
        <v>88.4</v>
      </c>
      <c r="F1372" s="10">
        <f>AVERAGE($E$1098:E1372)</f>
        <v>85.637272727272745</v>
      </c>
      <c r="I1372" s="11">
        <v>3000</v>
      </c>
      <c r="J1372" s="11">
        <v>-2000</v>
      </c>
      <c r="K1372" s="11">
        <v>-992</v>
      </c>
      <c r="L1372" s="11">
        <f t="shared" si="30"/>
        <v>-2992</v>
      </c>
      <c r="M1372" s="11">
        <f t="shared" si="31"/>
        <v>8</v>
      </c>
    </row>
    <row r="1373" spans="1:13">
      <c r="A1373" s="7">
        <v>45202</v>
      </c>
      <c r="B1373" s="8">
        <v>86.857116104870002</v>
      </c>
      <c r="E1373" s="8">
        <v>87</v>
      </c>
      <c r="F1373" s="10">
        <f>AVERAGE($E$1098:E1373)</f>
        <v>85.642210144927546</v>
      </c>
      <c r="I1373" s="11">
        <v>3000</v>
      </c>
      <c r="J1373" s="11">
        <v>-2000</v>
      </c>
      <c r="K1373" s="11">
        <v>-1503</v>
      </c>
      <c r="L1373" s="11">
        <f t="shared" si="30"/>
        <v>-3503</v>
      </c>
      <c r="M1373" s="11">
        <f t="shared" si="31"/>
        <v>-503</v>
      </c>
    </row>
    <row r="1374" spans="1:13">
      <c r="A1374" s="7">
        <v>45203</v>
      </c>
      <c r="B1374" s="8">
        <v>86.790449438203339</v>
      </c>
      <c r="E1374" s="8">
        <v>86.8</v>
      </c>
      <c r="F1374" s="10">
        <f>AVERAGE($E$1098:E1374)</f>
        <v>85.646389891696757</v>
      </c>
      <c r="I1374" s="11">
        <v>3000</v>
      </c>
      <c r="J1374" s="11">
        <v>-2000</v>
      </c>
      <c r="K1374" s="11">
        <v>-527</v>
      </c>
      <c r="L1374" s="11">
        <f t="shared" ref="L1374:L1437" si="32">SUM(J1374:K1374)</f>
        <v>-2527</v>
      </c>
      <c r="M1374" s="11">
        <f t="shared" ref="M1374:M1437" si="33">I1374+J1374+K1374</f>
        <v>473</v>
      </c>
    </row>
    <row r="1375" spans="1:13">
      <c r="A1375" s="7">
        <v>45204</v>
      </c>
      <c r="B1375" s="8">
        <v>86.723782771536676</v>
      </c>
      <c r="E1375" s="8">
        <v>86.6</v>
      </c>
      <c r="F1375" s="10">
        <f>AVERAGE($E$1098:E1375)</f>
        <v>85.649820143884895</v>
      </c>
      <c r="I1375" s="11">
        <v>3000</v>
      </c>
      <c r="J1375" s="11">
        <v>-2000</v>
      </c>
      <c r="K1375" s="11">
        <v>-1077</v>
      </c>
      <c r="L1375" s="11">
        <f t="shared" si="32"/>
        <v>-3077</v>
      </c>
      <c r="M1375" s="11">
        <f t="shared" si="33"/>
        <v>-77</v>
      </c>
    </row>
    <row r="1376" spans="1:13">
      <c r="A1376" s="7">
        <v>45205</v>
      </c>
      <c r="B1376" s="8">
        <v>86.657116104870013</v>
      </c>
      <c r="E1376" s="8">
        <v>86.1</v>
      </c>
      <c r="F1376" s="10">
        <f>AVERAGE($E$1098:E1376)</f>
        <v>85.651433691756267</v>
      </c>
      <c r="I1376" s="11">
        <v>3000</v>
      </c>
      <c r="J1376" s="11">
        <v>-2000</v>
      </c>
      <c r="K1376" s="11">
        <v>-695</v>
      </c>
      <c r="L1376" s="11">
        <f t="shared" si="32"/>
        <v>-2695</v>
      </c>
      <c r="M1376" s="11">
        <f t="shared" si="33"/>
        <v>305</v>
      </c>
    </row>
    <row r="1377" spans="1:13">
      <c r="A1377" s="7">
        <v>45206</v>
      </c>
      <c r="B1377" s="8">
        <v>86.59044943820335</v>
      </c>
      <c r="E1377" s="8">
        <v>87.8</v>
      </c>
      <c r="F1377" s="10">
        <f>AVERAGE($E$1098:E1377)</f>
        <v>85.659107142857138</v>
      </c>
      <c r="I1377" s="11">
        <v>3000</v>
      </c>
      <c r="J1377" s="11">
        <v>-2000</v>
      </c>
      <c r="K1377" s="11">
        <v>-1643</v>
      </c>
      <c r="L1377" s="11">
        <f t="shared" si="32"/>
        <v>-3643</v>
      </c>
      <c r="M1377" s="11">
        <f t="shared" si="33"/>
        <v>-643</v>
      </c>
    </row>
    <row r="1378" spans="1:13">
      <c r="A1378" s="7">
        <v>45207</v>
      </c>
      <c r="B1378" s="8">
        <v>86.523782771536688</v>
      </c>
      <c r="E1378" s="8">
        <v>87.5</v>
      </c>
      <c r="F1378" s="10">
        <f>AVERAGE($E$1098:E1378)</f>
        <v>85.665658362989319</v>
      </c>
      <c r="I1378" s="11">
        <v>3000</v>
      </c>
      <c r="J1378" s="11">
        <v>-2000</v>
      </c>
      <c r="K1378" s="11">
        <v>-863</v>
      </c>
      <c r="L1378" s="11">
        <f t="shared" si="32"/>
        <v>-2863</v>
      </c>
      <c r="M1378" s="11">
        <f t="shared" si="33"/>
        <v>137</v>
      </c>
    </row>
    <row r="1379" spans="1:13">
      <c r="A1379" s="7">
        <v>45208</v>
      </c>
      <c r="B1379" s="8">
        <v>86.457116104870025</v>
      </c>
      <c r="E1379" s="8">
        <v>87.7</v>
      </c>
      <c r="F1379" s="10">
        <f>AVERAGE($E$1098:E1379)</f>
        <v>85.672872340425528</v>
      </c>
      <c r="I1379" s="11">
        <v>3000</v>
      </c>
      <c r="J1379" s="11">
        <v>-2000</v>
      </c>
      <c r="K1379" s="11">
        <v>-654</v>
      </c>
      <c r="L1379" s="11">
        <f t="shared" si="32"/>
        <v>-2654</v>
      </c>
      <c r="M1379" s="11">
        <f t="shared" si="33"/>
        <v>346</v>
      </c>
    </row>
    <row r="1380" spans="1:13">
      <c r="A1380" s="7">
        <v>45209</v>
      </c>
      <c r="B1380" s="8">
        <v>86.390449438203362</v>
      </c>
      <c r="E1380" s="8">
        <v>87.1</v>
      </c>
      <c r="F1380" s="10">
        <f>AVERAGE($E$1098:E1380)</f>
        <v>85.677915194346284</v>
      </c>
      <c r="I1380" s="11">
        <v>3000</v>
      </c>
      <c r="J1380" s="11">
        <v>-2000</v>
      </c>
      <c r="K1380" s="11">
        <v>-1008</v>
      </c>
      <c r="L1380" s="11">
        <f t="shared" si="32"/>
        <v>-3008</v>
      </c>
      <c r="M1380" s="11">
        <f t="shared" si="33"/>
        <v>-8</v>
      </c>
    </row>
    <row r="1381" spans="1:13">
      <c r="A1381" s="7">
        <v>45210</v>
      </c>
      <c r="B1381" s="8">
        <v>86.323782771536699</v>
      </c>
      <c r="E1381" s="8">
        <v>86.6</v>
      </c>
      <c r="F1381" s="10">
        <f>AVERAGE($E$1098:E1381)</f>
        <v>85.681161971830974</v>
      </c>
      <c r="I1381" s="11">
        <v>3000</v>
      </c>
      <c r="J1381" s="11">
        <v>-2000</v>
      </c>
      <c r="K1381" s="11">
        <v>-1628</v>
      </c>
      <c r="L1381" s="11">
        <f t="shared" si="32"/>
        <v>-3628</v>
      </c>
      <c r="M1381" s="11">
        <f t="shared" si="33"/>
        <v>-628</v>
      </c>
    </row>
    <row r="1382" spans="1:13">
      <c r="A1382" s="7">
        <v>45211</v>
      </c>
      <c r="B1382" s="8">
        <v>86.257116104870036</v>
      </c>
      <c r="E1382" s="8">
        <v>86.7</v>
      </c>
      <c r="F1382" s="10">
        <f>AVERAGE($E$1098:E1382)</f>
        <v>85.684736842105252</v>
      </c>
      <c r="I1382" s="11">
        <v>3000</v>
      </c>
      <c r="J1382" s="11">
        <v>-2000</v>
      </c>
      <c r="K1382" s="11">
        <v>-743</v>
      </c>
      <c r="L1382" s="11">
        <f t="shared" si="32"/>
        <v>-2743</v>
      </c>
      <c r="M1382" s="11">
        <f t="shared" si="33"/>
        <v>257</v>
      </c>
    </row>
    <row r="1383" spans="1:13">
      <c r="A1383" s="7">
        <v>45212</v>
      </c>
      <c r="B1383" s="8">
        <v>86.190449438203373</v>
      </c>
      <c r="E1383" s="8">
        <v>86.3</v>
      </c>
      <c r="F1383" s="10">
        <f>AVERAGE($E$1098:E1383)</f>
        <v>85.686888111888095</v>
      </c>
      <c r="I1383" s="11">
        <v>3000</v>
      </c>
      <c r="J1383" s="11">
        <v>-2000</v>
      </c>
      <c r="K1383" s="11">
        <v>-753</v>
      </c>
      <c r="L1383" s="11">
        <f t="shared" si="32"/>
        <v>-2753</v>
      </c>
      <c r="M1383" s="11">
        <f t="shared" si="33"/>
        <v>247</v>
      </c>
    </row>
    <row r="1384" spans="1:13">
      <c r="A1384" s="7">
        <v>45213</v>
      </c>
      <c r="B1384" s="8">
        <v>86.12378277153671</v>
      </c>
      <c r="E1384" s="8">
        <v>87.3</v>
      </c>
      <c r="F1384" s="10">
        <f>AVERAGE($E$1098:E1384)</f>
        <v>85.692508710801377</v>
      </c>
      <c r="I1384" s="11">
        <v>3000</v>
      </c>
      <c r="J1384" s="11">
        <v>-2000</v>
      </c>
      <c r="K1384" s="11">
        <v>-922</v>
      </c>
      <c r="L1384" s="11">
        <f t="shared" si="32"/>
        <v>-2922</v>
      </c>
      <c r="M1384" s="11">
        <f t="shared" si="33"/>
        <v>78</v>
      </c>
    </row>
    <row r="1385" spans="1:13">
      <c r="A1385" s="7">
        <v>45214</v>
      </c>
      <c r="B1385" s="8">
        <v>86.057116104870047</v>
      </c>
      <c r="E1385" s="8">
        <v>88</v>
      </c>
      <c r="F1385" s="10">
        <f>AVERAGE($E$1098:E1385)</f>
        <v>85.700520833333314</v>
      </c>
      <c r="I1385" s="11">
        <v>3000</v>
      </c>
      <c r="J1385" s="11">
        <v>-2000</v>
      </c>
      <c r="K1385" s="11">
        <v>-789</v>
      </c>
      <c r="L1385" s="11">
        <f t="shared" si="32"/>
        <v>-2789</v>
      </c>
      <c r="M1385" s="11">
        <f t="shared" si="33"/>
        <v>211</v>
      </c>
    </row>
    <row r="1386" spans="1:13">
      <c r="A1386" s="7">
        <v>45215</v>
      </c>
      <c r="B1386" s="8">
        <v>85.990449438203385</v>
      </c>
      <c r="E1386" s="8">
        <v>88.9</v>
      </c>
      <c r="F1386" s="10">
        <f>AVERAGE($E$1098:E1386)</f>
        <v>85.711591695501724</v>
      </c>
      <c r="I1386" s="11">
        <v>3000</v>
      </c>
      <c r="J1386" s="11">
        <v>-2000</v>
      </c>
      <c r="K1386" s="11">
        <v>-963</v>
      </c>
      <c r="L1386" s="11">
        <f t="shared" si="32"/>
        <v>-2963</v>
      </c>
      <c r="M1386" s="11">
        <f t="shared" si="33"/>
        <v>37</v>
      </c>
    </row>
    <row r="1387" spans="1:13">
      <c r="A1387" s="7">
        <v>45216</v>
      </c>
      <c r="B1387" s="8">
        <v>85.923782771536722</v>
      </c>
      <c r="E1387" s="8">
        <v>89.1</v>
      </c>
      <c r="F1387" s="10">
        <f>AVERAGE($E$1098:E1387)</f>
        <v>85.723275862068959</v>
      </c>
      <c r="I1387" s="11">
        <v>3000</v>
      </c>
      <c r="J1387" s="11">
        <v>-2000</v>
      </c>
      <c r="K1387" s="11">
        <v>-879</v>
      </c>
      <c r="L1387" s="11">
        <f t="shared" si="32"/>
        <v>-2879</v>
      </c>
      <c r="M1387" s="11">
        <f t="shared" si="33"/>
        <v>121</v>
      </c>
    </row>
    <row r="1388" spans="1:13">
      <c r="A1388" s="7">
        <v>45217</v>
      </c>
      <c r="B1388" s="8">
        <v>85.857116104870059</v>
      </c>
      <c r="E1388" s="8">
        <v>87.5</v>
      </c>
      <c r="F1388" s="10">
        <f>AVERAGE($E$1098:E1388)</f>
        <v>85.729381443298962</v>
      </c>
      <c r="I1388" s="11">
        <v>3000</v>
      </c>
      <c r="J1388" s="11">
        <v>-2000</v>
      </c>
      <c r="K1388" s="11">
        <v>-773</v>
      </c>
      <c r="L1388" s="11">
        <f t="shared" si="32"/>
        <v>-2773</v>
      </c>
      <c r="M1388" s="11">
        <f t="shared" si="33"/>
        <v>227</v>
      </c>
    </row>
    <row r="1389" spans="1:13">
      <c r="A1389" s="7">
        <v>45218</v>
      </c>
      <c r="B1389" s="8">
        <v>85.790449438203396</v>
      </c>
      <c r="E1389" s="8">
        <v>87.2</v>
      </c>
      <c r="F1389" s="10">
        <f>AVERAGE($E$1098:E1389)</f>
        <v>85.734417808219163</v>
      </c>
      <c r="I1389" s="11">
        <v>3000</v>
      </c>
      <c r="J1389" s="11">
        <v>-2000</v>
      </c>
      <c r="K1389" s="11">
        <v>-540</v>
      </c>
      <c r="L1389" s="11">
        <f t="shared" si="32"/>
        <v>-2540</v>
      </c>
      <c r="M1389" s="11">
        <f t="shared" si="33"/>
        <v>460</v>
      </c>
    </row>
    <row r="1390" spans="1:13">
      <c r="A1390" s="7">
        <v>45219</v>
      </c>
      <c r="B1390" s="8">
        <v>85.723782771536733</v>
      </c>
      <c r="E1390" s="8">
        <v>88.5</v>
      </c>
      <c r="F1390" s="10">
        <f>AVERAGE($E$1098:E1390)</f>
        <v>85.743856655290088</v>
      </c>
      <c r="I1390" s="11">
        <v>3000</v>
      </c>
      <c r="J1390" s="11">
        <v>-2000</v>
      </c>
      <c r="K1390" s="11">
        <v>-599</v>
      </c>
      <c r="L1390" s="11">
        <f t="shared" si="32"/>
        <v>-2599</v>
      </c>
      <c r="M1390" s="11">
        <f t="shared" si="33"/>
        <v>401</v>
      </c>
    </row>
    <row r="1391" spans="1:13">
      <c r="A1391" s="7">
        <v>45220</v>
      </c>
      <c r="B1391" s="8">
        <v>85.65711610487007</v>
      </c>
      <c r="E1391" s="8">
        <v>87.9</v>
      </c>
      <c r="F1391" s="10">
        <f>AVERAGE($E$1098:E1391)</f>
        <v>85.751190476190473</v>
      </c>
      <c r="I1391" s="11">
        <v>3000</v>
      </c>
      <c r="J1391" s="11">
        <v>-2000</v>
      </c>
      <c r="K1391" s="11">
        <v>-1962</v>
      </c>
      <c r="L1391" s="11">
        <f t="shared" si="32"/>
        <v>-3962</v>
      </c>
      <c r="M1391" s="11">
        <f t="shared" si="33"/>
        <v>-962</v>
      </c>
    </row>
    <row r="1392" spans="1:13">
      <c r="A1392" s="7">
        <v>45221</v>
      </c>
      <c r="B1392" s="8">
        <v>85.590449438203407</v>
      </c>
      <c r="E1392" s="8">
        <v>88.2</v>
      </c>
      <c r="F1392" s="10">
        <f>AVERAGE($E$1098:E1392)</f>
        <v>85.759491525423726</v>
      </c>
      <c r="I1392" s="11">
        <v>3000</v>
      </c>
      <c r="J1392" s="11">
        <v>-2000</v>
      </c>
      <c r="K1392" s="11">
        <v>-691</v>
      </c>
      <c r="L1392" s="11">
        <f t="shared" si="32"/>
        <v>-2691</v>
      </c>
      <c r="M1392" s="11">
        <f t="shared" si="33"/>
        <v>309</v>
      </c>
    </row>
    <row r="1393" spans="1:17">
      <c r="A1393" s="7">
        <v>45222</v>
      </c>
      <c r="B1393" s="8">
        <v>85.523782771536744</v>
      </c>
      <c r="E1393" s="8">
        <v>88.3</v>
      </c>
      <c r="F1393" s="10">
        <f>AVERAGE($E$1098:E1393)</f>
        <v>85.768074324324317</v>
      </c>
      <c r="I1393" s="11">
        <v>3000</v>
      </c>
      <c r="J1393" s="11">
        <v>-2000</v>
      </c>
      <c r="K1393" s="11">
        <v>-2189</v>
      </c>
      <c r="L1393" s="11">
        <f t="shared" si="32"/>
        <v>-4189</v>
      </c>
      <c r="M1393" s="11">
        <f t="shared" si="33"/>
        <v>-1189</v>
      </c>
    </row>
    <row r="1394" spans="1:17">
      <c r="A1394" s="7">
        <v>45223</v>
      </c>
      <c r="B1394" s="8">
        <v>85.457116104870082</v>
      </c>
      <c r="E1394" s="8">
        <v>87.7</v>
      </c>
      <c r="F1394" s="10">
        <f>AVERAGE($E$1098:E1394)</f>
        <v>85.77457912457912</v>
      </c>
      <c r="I1394" s="11">
        <v>3000</v>
      </c>
      <c r="J1394" s="11">
        <v>-2000</v>
      </c>
      <c r="K1394" s="11">
        <v>-886</v>
      </c>
      <c r="L1394" s="11">
        <f t="shared" si="32"/>
        <v>-2886</v>
      </c>
      <c r="M1394" s="11">
        <f t="shared" si="33"/>
        <v>114</v>
      </c>
    </row>
    <row r="1395" spans="1:17">
      <c r="A1395" s="7">
        <v>45224</v>
      </c>
      <c r="B1395" s="8">
        <v>85.390449438203419</v>
      </c>
      <c r="E1395" s="8">
        <v>88</v>
      </c>
      <c r="F1395" s="10">
        <f>AVERAGE($E$1098:E1395)</f>
        <v>85.782046979865768</v>
      </c>
      <c r="I1395" s="11">
        <v>3000</v>
      </c>
      <c r="J1395" s="11">
        <v>-2000</v>
      </c>
      <c r="K1395" s="11">
        <v>-1252</v>
      </c>
      <c r="L1395" s="11">
        <f t="shared" si="32"/>
        <v>-3252</v>
      </c>
      <c r="M1395" s="11">
        <f t="shared" si="33"/>
        <v>-252</v>
      </c>
    </row>
    <row r="1396" spans="1:17">
      <c r="A1396" s="7">
        <v>45225</v>
      </c>
      <c r="B1396" s="8">
        <v>85.323782771536756</v>
      </c>
      <c r="E1396" s="8">
        <v>88</v>
      </c>
      <c r="F1396" s="10">
        <f>AVERAGE($E$1098:E1396)</f>
        <v>85.789464882943136</v>
      </c>
      <c r="I1396" s="11">
        <v>3000</v>
      </c>
      <c r="J1396" s="11">
        <v>-2000</v>
      </c>
      <c r="K1396" s="11">
        <v>-806</v>
      </c>
      <c r="L1396" s="11">
        <f t="shared" si="32"/>
        <v>-2806</v>
      </c>
      <c r="M1396" s="11">
        <f t="shared" si="33"/>
        <v>194</v>
      </c>
    </row>
    <row r="1397" spans="1:17">
      <c r="A1397" s="7">
        <v>45226</v>
      </c>
      <c r="B1397" s="8">
        <v>85.257116104870093</v>
      </c>
      <c r="E1397" s="8">
        <v>88</v>
      </c>
      <c r="F1397" s="10">
        <f>AVERAGE($E$1098:E1397)</f>
        <v>85.796833333333325</v>
      </c>
      <c r="I1397" s="11">
        <v>3000</v>
      </c>
      <c r="J1397" s="11">
        <v>-2000</v>
      </c>
      <c r="K1397" s="11">
        <v>-820</v>
      </c>
      <c r="L1397" s="11">
        <f t="shared" si="32"/>
        <v>-2820</v>
      </c>
      <c r="M1397" s="11">
        <f t="shared" si="33"/>
        <v>180</v>
      </c>
    </row>
    <row r="1398" spans="1:17">
      <c r="A1398" s="7">
        <v>45227</v>
      </c>
      <c r="B1398" s="8">
        <v>85.19044943820343</v>
      </c>
      <c r="E1398" s="8">
        <v>87.8</v>
      </c>
      <c r="F1398" s="10">
        <f>AVERAGE($E$1098:E1398)</f>
        <v>85.803488372093014</v>
      </c>
      <c r="I1398" s="11">
        <v>3000</v>
      </c>
      <c r="J1398" s="11">
        <v>-2000</v>
      </c>
      <c r="K1398" s="11">
        <v>-1843</v>
      </c>
      <c r="L1398" s="11">
        <f t="shared" si="32"/>
        <v>-3843</v>
      </c>
      <c r="M1398" s="11">
        <f t="shared" si="33"/>
        <v>-843</v>
      </c>
    </row>
    <row r="1399" spans="1:17">
      <c r="A1399" s="7">
        <v>45228</v>
      </c>
      <c r="B1399" s="8">
        <v>85.123782771536767</v>
      </c>
      <c r="E1399" s="8">
        <v>89.4</v>
      </c>
      <c r="F1399" s="10">
        <f>AVERAGE($E$1098:E1399)</f>
        <v>85.815397350993379</v>
      </c>
      <c r="I1399" s="11">
        <v>3000</v>
      </c>
      <c r="J1399" s="11">
        <v>-2000</v>
      </c>
      <c r="K1399" s="11">
        <v>-647</v>
      </c>
      <c r="L1399" s="11">
        <f t="shared" si="32"/>
        <v>-2647</v>
      </c>
      <c r="M1399" s="11">
        <f t="shared" si="33"/>
        <v>353</v>
      </c>
    </row>
    <row r="1400" spans="1:17">
      <c r="A1400" s="7">
        <v>45229</v>
      </c>
      <c r="B1400" s="8">
        <v>85.057116104870104</v>
      </c>
      <c r="E1400" s="8">
        <v>88.9</v>
      </c>
      <c r="F1400" s="10">
        <f>AVERAGE($E$1098:E1400)</f>
        <v>85.825577557755778</v>
      </c>
      <c r="I1400" s="11">
        <v>3000</v>
      </c>
      <c r="J1400" s="11">
        <v>-2000</v>
      </c>
      <c r="K1400" s="11">
        <v>-1298</v>
      </c>
      <c r="L1400" s="11">
        <f t="shared" si="32"/>
        <v>-3298</v>
      </c>
      <c r="M1400" s="11">
        <f t="shared" si="33"/>
        <v>-298</v>
      </c>
    </row>
    <row r="1401" spans="1:17">
      <c r="A1401" s="7">
        <v>45230</v>
      </c>
      <c r="B1401" s="8">
        <v>84.990449438203441</v>
      </c>
      <c r="E1401" s="8">
        <v>87.9</v>
      </c>
      <c r="F1401" s="10">
        <f>AVERAGE($E$1098:E1401)</f>
        <v>85.832401315789483</v>
      </c>
      <c r="I1401" s="11">
        <v>3000</v>
      </c>
      <c r="J1401" s="11">
        <v>-2000</v>
      </c>
      <c r="K1401" s="11">
        <v>-681</v>
      </c>
      <c r="L1401" s="11">
        <f t="shared" si="32"/>
        <v>-2681</v>
      </c>
      <c r="M1401" s="11">
        <f t="shared" si="33"/>
        <v>319</v>
      </c>
    </row>
    <row r="1402" spans="1:17">
      <c r="A1402" s="7">
        <v>45231</v>
      </c>
      <c r="B1402" s="8">
        <v>87.023782771536773</v>
      </c>
      <c r="E1402" s="8">
        <v>88.1</v>
      </c>
      <c r="F1402" s="10">
        <f>AVERAGE($E$1098:E1402)</f>
        <v>85.839836065573778</v>
      </c>
      <c r="I1402" s="11">
        <v>3000</v>
      </c>
      <c r="J1402" s="11">
        <v>-2000</v>
      </c>
      <c r="K1402" s="11">
        <v>-658</v>
      </c>
      <c r="L1402" s="11">
        <f t="shared" si="32"/>
        <v>-2658</v>
      </c>
      <c r="M1402" s="11">
        <f t="shared" si="33"/>
        <v>342</v>
      </c>
    </row>
    <row r="1403" spans="1:17">
      <c r="A1403" s="7">
        <v>45232</v>
      </c>
      <c r="B1403" s="8">
        <v>86.95711610487011</v>
      </c>
      <c r="E1403" s="8">
        <v>88.2</v>
      </c>
      <c r="F1403" s="10">
        <f>AVERAGE($E$1098:E1403)</f>
        <v>85.847549019607854</v>
      </c>
      <c r="I1403" s="11">
        <v>3000</v>
      </c>
      <c r="J1403" s="11">
        <v>-2000</v>
      </c>
      <c r="K1403" s="11">
        <v>-1586</v>
      </c>
      <c r="L1403" s="11">
        <f t="shared" si="32"/>
        <v>-3586</v>
      </c>
      <c r="M1403" s="11">
        <f t="shared" si="33"/>
        <v>-586</v>
      </c>
    </row>
    <row r="1404" spans="1:17">
      <c r="A1404" s="7">
        <v>45233</v>
      </c>
      <c r="B1404" s="8">
        <v>86.890449438203447</v>
      </c>
      <c r="E1404" s="8">
        <v>87.4</v>
      </c>
      <c r="F1404" s="10">
        <f>AVERAGE($E$1098:E1404)</f>
        <v>85.852605863192196</v>
      </c>
      <c r="I1404" s="11">
        <v>3000</v>
      </c>
      <c r="J1404" s="11">
        <v>-2000</v>
      </c>
      <c r="K1404" s="11">
        <v>-847</v>
      </c>
      <c r="L1404" s="11">
        <f t="shared" si="32"/>
        <v>-2847</v>
      </c>
      <c r="M1404" s="11">
        <f t="shared" si="33"/>
        <v>153</v>
      </c>
    </row>
    <row r="1405" spans="1:17">
      <c r="A1405" s="7">
        <v>45234</v>
      </c>
      <c r="B1405" s="8">
        <v>86.823782771536784</v>
      </c>
      <c r="E1405" s="8">
        <v>88.1</v>
      </c>
      <c r="F1405" s="10">
        <f>AVERAGE($E$1098:E1405)</f>
        <v>85.859902597402609</v>
      </c>
      <c r="I1405" s="11">
        <v>3000</v>
      </c>
      <c r="J1405" s="11">
        <v>-2000</v>
      </c>
      <c r="K1405" s="11">
        <v>-1839</v>
      </c>
      <c r="L1405" s="11">
        <f t="shared" si="32"/>
        <v>-3839</v>
      </c>
      <c r="M1405" s="11">
        <f t="shared" si="33"/>
        <v>-839</v>
      </c>
    </row>
    <row r="1406" spans="1:17" ht="15" thickBot="1">
      <c r="A1406" s="30">
        <v>45235</v>
      </c>
      <c r="B1406" s="31">
        <v>86.757116104870121</v>
      </c>
      <c r="C1406" s="32"/>
      <c r="D1406" s="33"/>
      <c r="E1406" s="31">
        <v>89.6</v>
      </c>
      <c r="F1406" s="33">
        <f>AVERAGE($E$1098:E1406)</f>
        <v>85.872006472491918</v>
      </c>
      <c r="G1406" s="32"/>
      <c r="H1406" s="33"/>
      <c r="I1406" s="34">
        <v>3000</v>
      </c>
      <c r="J1406" s="34">
        <v>-2000</v>
      </c>
      <c r="K1406" s="34">
        <v>-659</v>
      </c>
      <c r="L1406" s="34">
        <f t="shared" si="32"/>
        <v>-2659</v>
      </c>
      <c r="M1406" s="34">
        <f t="shared" si="33"/>
        <v>341</v>
      </c>
      <c r="N1406" s="34"/>
      <c r="O1406" s="35"/>
      <c r="P1406" s="35"/>
      <c r="Q1406" s="35"/>
    </row>
    <row r="1407" spans="1:17">
      <c r="A1407" s="7">
        <v>45236</v>
      </c>
      <c r="B1407" s="8">
        <v>86.690449438203458</v>
      </c>
      <c r="E1407" s="8">
        <v>89.3</v>
      </c>
      <c r="F1407" s="10">
        <f>AVERAGE($E$1098:E1407)</f>
        <v>85.883064516129039</v>
      </c>
      <c r="I1407" s="11">
        <v>2089</v>
      </c>
      <c r="J1407" s="11">
        <v>-2000</v>
      </c>
      <c r="K1407" s="11">
        <v>-1521</v>
      </c>
      <c r="L1407" s="11">
        <f t="shared" si="32"/>
        <v>-3521</v>
      </c>
      <c r="M1407" s="11">
        <f t="shared" si="33"/>
        <v>-1432</v>
      </c>
    </row>
    <row r="1408" spans="1:17">
      <c r="A1408" s="7">
        <v>45237</v>
      </c>
      <c r="B1408" s="8">
        <v>86.623782771536796</v>
      </c>
      <c r="E1408" s="8">
        <v>88.1</v>
      </c>
      <c r="F1408" s="10">
        <f>AVERAGE($E$1098:E1408)</f>
        <v>85.890192926045017</v>
      </c>
      <c r="I1408" s="11">
        <v>1861</v>
      </c>
      <c r="J1408" s="11">
        <v>-2000</v>
      </c>
      <c r="K1408" s="11">
        <v>-982</v>
      </c>
      <c r="L1408" s="11">
        <f t="shared" si="32"/>
        <v>-2982</v>
      </c>
      <c r="M1408" s="11">
        <f t="shared" si="33"/>
        <v>-1121</v>
      </c>
    </row>
    <row r="1409" spans="1:13">
      <c r="A1409" s="7">
        <v>45238</v>
      </c>
      <c r="B1409" s="8">
        <v>86.557116104870133</v>
      </c>
      <c r="E1409" s="8">
        <v>87.8</v>
      </c>
      <c r="F1409" s="10">
        <f>AVERAGE($E$1098:E1409)</f>
        <v>85.896314102564091</v>
      </c>
      <c r="I1409" s="11">
        <v>2162</v>
      </c>
      <c r="J1409" s="11">
        <v>-2000</v>
      </c>
      <c r="K1409" s="11">
        <v>-800</v>
      </c>
      <c r="L1409" s="11">
        <f t="shared" si="32"/>
        <v>-2800</v>
      </c>
      <c r="M1409" s="11">
        <f t="shared" si="33"/>
        <v>-638</v>
      </c>
    </row>
    <row r="1410" spans="1:13">
      <c r="A1410" s="7">
        <v>45239</v>
      </c>
      <c r="B1410" s="8">
        <v>86.49044943820347</v>
      </c>
      <c r="E1410" s="8">
        <v>87.8</v>
      </c>
      <c r="F1410" s="10">
        <f>AVERAGE($E$1098:E1410)</f>
        <v>85.902396166134181</v>
      </c>
      <c r="I1410" s="11">
        <v>1946</v>
      </c>
      <c r="J1410" s="11">
        <v>-2000</v>
      </c>
      <c r="K1410" s="11">
        <v>-704</v>
      </c>
      <c r="L1410" s="11">
        <f t="shared" si="32"/>
        <v>-2704</v>
      </c>
      <c r="M1410" s="11">
        <f t="shared" si="33"/>
        <v>-758</v>
      </c>
    </row>
    <row r="1411" spans="1:13">
      <c r="A1411" s="7">
        <v>45240</v>
      </c>
      <c r="B1411" s="8">
        <v>86.423782771536807</v>
      </c>
      <c r="E1411" s="8">
        <v>87.2</v>
      </c>
      <c r="F1411" s="10">
        <f>AVERAGE($E$1098:E1411)</f>
        <v>85.906528662420371</v>
      </c>
      <c r="I1411" s="11">
        <v>3135</v>
      </c>
      <c r="J1411" s="11">
        <v>-2000</v>
      </c>
      <c r="K1411" s="11">
        <v>-2617</v>
      </c>
      <c r="L1411" s="11">
        <f t="shared" si="32"/>
        <v>-4617</v>
      </c>
      <c r="M1411" s="11">
        <f t="shared" si="33"/>
        <v>-1482</v>
      </c>
    </row>
    <row r="1412" spans="1:13">
      <c r="A1412" s="7">
        <v>45241</v>
      </c>
      <c r="B1412" s="8">
        <v>86.357116104870144</v>
      </c>
      <c r="E1412" s="8">
        <v>87.1</v>
      </c>
      <c r="F1412" s="10">
        <f>AVERAGE($E$1098:E1412)</f>
        <v>85.910317460317444</v>
      </c>
      <c r="I1412" s="11">
        <v>2412</v>
      </c>
      <c r="J1412" s="11">
        <v>-2000</v>
      </c>
      <c r="K1412" s="11">
        <v>-575</v>
      </c>
      <c r="L1412" s="11">
        <f t="shared" si="32"/>
        <v>-2575</v>
      </c>
      <c r="M1412" s="11">
        <f t="shared" si="33"/>
        <v>-163</v>
      </c>
    </row>
    <row r="1413" spans="1:13">
      <c r="A1413" s="7">
        <v>45242</v>
      </c>
      <c r="B1413" s="8">
        <v>86.290449438203481</v>
      </c>
      <c r="E1413" s="8">
        <v>87.6</v>
      </c>
      <c r="F1413" s="10">
        <f>AVERAGE($E$1098:E1413)</f>
        <v>85.915664556962014</v>
      </c>
      <c r="I1413" s="11">
        <v>3077</v>
      </c>
      <c r="J1413" s="11">
        <v>-2000</v>
      </c>
      <c r="K1413" s="11">
        <v>-638</v>
      </c>
      <c r="L1413" s="11">
        <f t="shared" si="32"/>
        <v>-2638</v>
      </c>
      <c r="M1413" s="11">
        <f t="shared" si="33"/>
        <v>439</v>
      </c>
    </row>
    <row r="1414" spans="1:13">
      <c r="A1414" s="7">
        <v>45243</v>
      </c>
      <c r="B1414" s="8">
        <v>86.223782771536818</v>
      </c>
      <c r="E1414" s="8">
        <v>88.3</v>
      </c>
      <c r="F1414" s="10">
        <f>AVERAGE($E$1098:E1414)</f>
        <v>85.923186119873805</v>
      </c>
      <c r="I1414" s="11">
        <v>2090</v>
      </c>
      <c r="J1414" s="11">
        <v>-2000</v>
      </c>
      <c r="K1414" s="11">
        <v>-1334</v>
      </c>
      <c r="L1414" s="11">
        <f t="shared" si="32"/>
        <v>-3334</v>
      </c>
      <c r="M1414" s="11">
        <f t="shared" si="33"/>
        <v>-1244</v>
      </c>
    </row>
    <row r="1415" spans="1:13">
      <c r="A1415" s="7">
        <v>45244</v>
      </c>
      <c r="B1415" s="8">
        <v>86.157116104870155</v>
      </c>
      <c r="E1415" s="8">
        <v>87.2</v>
      </c>
      <c r="F1415" s="10">
        <f>AVERAGE($E$1098:E1415)</f>
        <v>85.927201257861626</v>
      </c>
      <c r="I1415" s="11">
        <v>1971</v>
      </c>
      <c r="J1415" s="11">
        <v>-2000</v>
      </c>
      <c r="K1415" s="11">
        <v>-813</v>
      </c>
      <c r="L1415" s="11">
        <f t="shared" si="32"/>
        <v>-2813</v>
      </c>
      <c r="M1415" s="11">
        <f t="shared" si="33"/>
        <v>-842</v>
      </c>
    </row>
    <row r="1416" spans="1:13">
      <c r="A1416" s="7">
        <v>45245</v>
      </c>
      <c r="B1416" s="8">
        <v>86.090449438203493</v>
      </c>
      <c r="E1416" s="8">
        <v>86.6</v>
      </c>
      <c r="F1416" s="10">
        <f>AVERAGE($E$1098:E1416)</f>
        <v>85.92931034482757</v>
      </c>
      <c r="I1416" s="11">
        <v>2326</v>
      </c>
      <c r="J1416" s="11">
        <v>-2000</v>
      </c>
      <c r="K1416" s="11">
        <v>-1048</v>
      </c>
      <c r="L1416" s="11">
        <f t="shared" si="32"/>
        <v>-3048</v>
      </c>
      <c r="M1416" s="11">
        <f t="shared" si="33"/>
        <v>-722</v>
      </c>
    </row>
    <row r="1417" spans="1:13">
      <c r="A1417" s="7">
        <v>45246</v>
      </c>
      <c r="B1417" s="8">
        <v>86.02378277153683</v>
      </c>
      <c r="E1417" s="8">
        <v>86.4</v>
      </c>
      <c r="F1417" s="10">
        <f>AVERAGE($E$1098:E1417)</f>
        <v>85.930781249999981</v>
      </c>
      <c r="I1417" s="11">
        <v>2006</v>
      </c>
      <c r="J1417" s="11">
        <v>-2000</v>
      </c>
      <c r="K1417" s="11">
        <v>-869</v>
      </c>
      <c r="L1417" s="11">
        <f t="shared" si="32"/>
        <v>-2869</v>
      </c>
      <c r="M1417" s="11">
        <f t="shared" si="33"/>
        <v>-863</v>
      </c>
    </row>
    <row r="1418" spans="1:13">
      <c r="A1418" s="7">
        <v>45247</v>
      </c>
      <c r="B1418" s="8">
        <v>85.957116104870167</v>
      </c>
      <c r="E1418" s="8">
        <v>86.6</v>
      </c>
      <c r="F1418" s="10">
        <f>AVERAGE($E$1098:E1418)</f>
        <v>85.932866043613686</v>
      </c>
      <c r="I1418" s="11">
        <v>2029</v>
      </c>
      <c r="J1418" s="11">
        <v>-2000</v>
      </c>
      <c r="K1418" s="11">
        <v>-728</v>
      </c>
      <c r="L1418" s="11">
        <f t="shared" si="32"/>
        <v>-2728</v>
      </c>
      <c r="M1418" s="11">
        <f t="shared" si="33"/>
        <v>-699</v>
      </c>
    </row>
    <row r="1419" spans="1:13">
      <c r="A1419" s="7">
        <v>45248</v>
      </c>
      <c r="B1419" s="8">
        <v>85.890449438203504</v>
      </c>
      <c r="E1419" s="8">
        <v>86.4</v>
      </c>
      <c r="F1419" s="10">
        <f>AVERAGE($E$1098:E1419)</f>
        <v>85.934316770186314</v>
      </c>
      <c r="I1419" s="11">
        <v>1353</v>
      </c>
      <c r="J1419" s="11">
        <v>-2000</v>
      </c>
      <c r="K1419" s="11">
        <v>-1151</v>
      </c>
      <c r="L1419" s="11">
        <f t="shared" si="32"/>
        <v>-3151</v>
      </c>
      <c r="M1419" s="11">
        <f t="shared" si="33"/>
        <v>-1798</v>
      </c>
    </row>
    <row r="1420" spans="1:13">
      <c r="A1420" s="7">
        <v>45249</v>
      </c>
      <c r="B1420" s="8">
        <v>85.823782771536841</v>
      </c>
      <c r="E1420" s="8">
        <v>87.4</v>
      </c>
      <c r="F1420" s="10">
        <f>AVERAGE($E$1098:E1420)</f>
        <v>85.938854489164072</v>
      </c>
      <c r="I1420" s="11">
        <v>2832</v>
      </c>
      <c r="J1420" s="11">
        <v>-2000</v>
      </c>
      <c r="K1420" s="11">
        <v>-698</v>
      </c>
      <c r="L1420" s="11">
        <f t="shared" si="32"/>
        <v>-2698</v>
      </c>
      <c r="M1420" s="11">
        <f t="shared" si="33"/>
        <v>134</v>
      </c>
    </row>
    <row r="1421" spans="1:13">
      <c r="A1421" s="7">
        <v>45250</v>
      </c>
      <c r="B1421" s="8">
        <v>85.757116104870178</v>
      </c>
      <c r="E1421" s="8">
        <v>86.6</v>
      </c>
      <c r="F1421" s="10">
        <f>AVERAGE($E$1098:E1421)</f>
        <v>85.940895061728384</v>
      </c>
      <c r="I1421" s="11">
        <v>1654</v>
      </c>
      <c r="J1421" s="11">
        <v>-2000</v>
      </c>
      <c r="K1421" s="11">
        <v>-737</v>
      </c>
      <c r="L1421" s="11">
        <f t="shared" si="32"/>
        <v>-2737</v>
      </c>
      <c r="M1421" s="11">
        <f t="shared" si="33"/>
        <v>-1083</v>
      </c>
    </row>
    <row r="1422" spans="1:13">
      <c r="A1422" s="7">
        <v>45251</v>
      </c>
      <c r="B1422" s="8">
        <v>85.690449438203515</v>
      </c>
      <c r="E1422" s="8">
        <v>86.4</v>
      </c>
      <c r="F1422" s="10">
        <f>AVERAGE($E$1098:E1422)</f>
        <v>85.942307692307679</v>
      </c>
      <c r="I1422" s="11">
        <v>2198</v>
      </c>
      <c r="J1422" s="11">
        <v>-2000</v>
      </c>
      <c r="K1422" s="11">
        <v>-870</v>
      </c>
      <c r="L1422" s="11">
        <f t="shared" si="32"/>
        <v>-2870</v>
      </c>
      <c r="M1422" s="11">
        <f t="shared" si="33"/>
        <v>-672</v>
      </c>
    </row>
    <row r="1423" spans="1:13">
      <c r="A1423" s="7">
        <v>45252</v>
      </c>
      <c r="B1423" s="8">
        <v>85.623782771536852</v>
      </c>
      <c r="E1423" s="8">
        <v>86.5</v>
      </c>
      <c r="F1423" s="10">
        <f>AVERAGE($E$1098:E1423)</f>
        <v>85.944018404907965</v>
      </c>
      <c r="I1423" s="11">
        <v>2474</v>
      </c>
      <c r="J1423" s="11">
        <v>-2000</v>
      </c>
      <c r="K1423" s="11">
        <v>-1234</v>
      </c>
      <c r="L1423" s="11">
        <f t="shared" si="32"/>
        <v>-3234</v>
      </c>
      <c r="M1423" s="11">
        <f t="shared" si="33"/>
        <v>-760</v>
      </c>
    </row>
    <row r="1424" spans="1:13">
      <c r="A1424" s="7">
        <v>45253</v>
      </c>
      <c r="B1424" s="8">
        <v>85.55711610487019</v>
      </c>
      <c r="E1424" s="8">
        <v>86</v>
      </c>
      <c r="F1424" s="10">
        <f>AVERAGE($E$1098:E1424)</f>
        <v>85.944189602446471</v>
      </c>
      <c r="I1424" s="11">
        <v>2273</v>
      </c>
      <c r="J1424" s="11">
        <v>-2000</v>
      </c>
      <c r="K1424" s="11">
        <v>-548</v>
      </c>
      <c r="L1424" s="11">
        <f t="shared" si="32"/>
        <v>-2548</v>
      </c>
      <c r="M1424" s="11">
        <f t="shared" si="33"/>
        <v>-275</v>
      </c>
    </row>
    <row r="1425" spans="1:13">
      <c r="A1425" s="7">
        <v>45254</v>
      </c>
      <c r="B1425" s="8">
        <v>85.490449438203527</v>
      </c>
      <c r="E1425" s="8">
        <v>85.9</v>
      </c>
      <c r="F1425" s="10">
        <f>AVERAGE($E$1098:E1425)</f>
        <v>85.944054878048775</v>
      </c>
      <c r="I1425" s="11">
        <v>2426</v>
      </c>
      <c r="J1425" s="11">
        <v>-2000</v>
      </c>
      <c r="K1425" s="11">
        <v>-425</v>
      </c>
      <c r="L1425" s="11">
        <f t="shared" si="32"/>
        <v>-2425</v>
      </c>
      <c r="M1425" s="11">
        <f t="shared" si="33"/>
        <v>1</v>
      </c>
    </row>
    <row r="1426" spans="1:13">
      <c r="A1426" s="7">
        <v>45255</v>
      </c>
      <c r="B1426" s="8">
        <v>85.423782771536864</v>
      </c>
      <c r="E1426" s="8">
        <v>85.5</v>
      </c>
      <c r="F1426" s="10">
        <f>AVERAGE($E$1098:E1426)</f>
        <v>85.942705167173244</v>
      </c>
      <c r="I1426" s="11">
        <v>2348</v>
      </c>
      <c r="J1426" s="11">
        <v>-2000</v>
      </c>
      <c r="K1426" s="11">
        <v>-406</v>
      </c>
      <c r="L1426" s="11">
        <f t="shared" si="32"/>
        <v>-2406</v>
      </c>
      <c r="M1426" s="11">
        <f t="shared" si="33"/>
        <v>-58</v>
      </c>
    </row>
    <row r="1427" spans="1:13">
      <c r="A1427" s="7">
        <v>45256</v>
      </c>
      <c r="B1427" s="8">
        <v>85.357116104870201</v>
      </c>
      <c r="E1427" s="8">
        <v>85.8</v>
      </c>
      <c r="F1427" s="10">
        <f>AVERAGE($E$1098:E1427)</f>
        <v>85.942272727272723</v>
      </c>
      <c r="I1427" s="11">
        <v>2414</v>
      </c>
      <c r="J1427" s="11">
        <v>-2000</v>
      </c>
      <c r="K1427" s="11">
        <v>-338</v>
      </c>
      <c r="L1427" s="11">
        <f t="shared" si="32"/>
        <v>-2338</v>
      </c>
      <c r="M1427" s="11">
        <f t="shared" si="33"/>
        <v>76</v>
      </c>
    </row>
    <row r="1428" spans="1:13">
      <c r="A1428" s="7">
        <v>45257</v>
      </c>
      <c r="B1428" s="8">
        <v>85.290449438203538</v>
      </c>
      <c r="E1428" s="8">
        <v>87</v>
      </c>
      <c r="F1428" s="10">
        <f>AVERAGE($E$1098:E1428)</f>
        <v>85.945468277945608</v>
      </c>
      <c r="I1428" s="11">
        <v>2218</v>
      </c>
      <c r="J1428" s="11">
        <v>-2000</v>
      </c>
      <c r="K1428" s="11">
        <v>-640</v>
      </c>
      <c r="L1428" s="11">
        <f t="shared" si="32"/>
        <v>-2640</v>
      </c>
      <c r="M1428" s="11">
        <f t="shared" si="33"/>
        <v>-422</v>
      </c>
    </row>
    <row r="1429" spans="1:13">
      <c r="A1429" s="7">
        <v>45258</v>
      </c>
      <c r="B1429" s="8">
        <v>85.223782771536875</v>
      </c>
      <c r="E1429" s="8">
        <v>87.3</v>
      </c>
      <c r="F1429" s="10">
        <f>AVERAGE($E$1098:E1429)</f>
        <v>85.949548192771076</v>
      </c>
      <c r="I1429" s="11">
        <v>1979</v>
      </c>
      <c r="J1429" s="11">
        <v>-2000</v>
      </c>
      <c r="K1429" s="11">
        <v>-1102</v>
      </c>
      <c r="L1429" s="11">
        <f t="shared" si="32"/>
        <v>-3102</v>
      </c>
      <c r="M1429" s="11">
        <f t="shared" si="33"/>
        <v>-1123</v>
      </c>
    </row>
    <row r="1430" spans="1:13">
      <c r="A1430" s="7">
        <v>45259</v>
      </c>
      <c r="B1430" s="8">
        <v>85.157116104870212</v>
      </c>
      <c r="E1430" s="8">
        <v>86.4</v>
      </c>
      <c r="F1430" s="10">
        <f>AVERAGE($E$1098:E1430)</f>
        <v>85.950900900900891</v>
      </c>
      <c r="I1430" s="11">
        <v>2095</v>
      </c>
      <c r="J1430" s="11">
        <v>-2000</v>
      </c>
      <c r="K1430" s="11">
        <v>-1350</v>
      </c>
      <c r="L1430" s="11">
        <f t="shared" si="32"/>
        <v>-3350</v>
      </c>
      <c r="M1430" s="11">
        <f t="shared" si="33"/>
        <v>-1255</v>
      </c>
    </row>
    <row r="1431" spans="1:13">
      <c r="A1431" s="7">
        <v>45260</v>
      </c>
      <c r="B1431" s="8">
        <v>85.090449438203549</v>
      </c>
      <c r="E1431" s="8">
        <v>85.1</v>
      </c>
      <c r="F1431" s="10">
        <f>AVERAGE($E$1098:E1431)</f>
        <v>85.948353293413163</v>
      </c>
      <c r="I1431" s="11">
        <v>2975</v>
      </c>
      <c r="J1431" s="11">
        <v>-2000</v>
      </c>
      <c r="K1431" s="11">
        <v>-774</v>
      </c>
      <c r="L1431" s="11">
        <f t="shared" si="32"/>
        <v>-2774</v>
      </c>
      <c r="M1431" s="11">
        <f t="shared" si="33"/>
        <v>201</v>
      </c>
    </row>
    <row r="1432" spans="1:13">
      <c r="A1432" s="7">
        <v>45261</v>
      </c>
      <c r="B1432" s="8">
        <v>85.023782771536887</v>
      </c>
      <c r="E1432" s="8">
        <v>86.3</v>
      </c>
      <c r="F1432" s="10">
        <f>AVERAGE($E$1098:E1432)</f>
        <v>85.949402985074613</v>
      </c>
      <c r="I1432" s="11">
        <v>2231</v>
      </c>
      <c r="J1432" s="11">
        <v>-2000</v>
      </c>
      <c r="K1432" s="11">
        <v>-809</v>
      </c>
      <c r="L1432" s="11">
        <f t="shared" si="32"/>
        <v>-2809</v>
      </c>
      <c r="M1432" s="11">
        <f t="shared" si="33"/>
        <v>-578</v>
      </c>
    </row>
    <row r="1433" spans="1:13">
      <c r="A1433" s="7">
        <v>45262</v>
      </c>
      <c r="B1433" s="8">
        <v>84.957116104870224</v>
      </c>
      <c r="E1433" s="8">
        <v>86.3</v>
      </c>
      <c r="F1433" s="10">
        <f>AVERAGE($E$1098:E1433)</f>
        <v>85.950446428571411</v>
      </c>
      <c r="I1433" s="11">
        <v>2398</v>
      </c>
      <c r="J1433" s="11">
        <v>-2000</v>
      </c>
      <c r="K1433" s="11">
        <v>-1418</v>
      </c>
      <c r="L1433" s="11">
        <f t="shared" si="32"/>
        <v>-3418</v>
      </c>
      <c r="M1433" s="11">
        <f t="shared" si="33"/>
        <v>-1020</v>
      </c>
    </row>
    <row r="1434" spans="1:13">
      <c r="A1434" s="7">
        <v>45263</v>
      </c>
      <c r="B1434" s="8">
        <v>84.890449438203561</v>
      </c>
      <c r="E1434" s="8">
        <v>86.4</v>
      </c>
      <c r="F1434" s="10">
        <f>AVERAGE($E$1098:E1434)</f>
        <v>85.95178041543025</v>
      </c>
      <c r="I1434" s="11">
        <v>2614</v>
      </c>
      <c r="J1434" s="11">
        <v>-2000</v>
      </c>
      <c r="K1434" s="11">
        <v>-1366</v>
      </c>
      <c r="L1434" s="11">
        <f t="shared" si="32"/>
        <v>-3366</v>
      </c>
      <c r="M1434" s="11">
        <f t="shared" si="33"/>
        <v>-752</v>
      </c>
    </row>
    <row r="1435" spans="1:13">
      <c r="A1435" s="7">
        <v>45264</v>
      </c>
      <c r="B1435" s="8">
        <v>84.823782771536898</v>
      </c>
      <c r="E1435" s="8">
        <v>86.8</v>
      </c>
      <c r="F1435" s="10">
        <f>AVERAGE($E$1098:E1435)</f>
        <v>85.954289940828389</v>
      </c>
      <c r="I1435" s="11">
        <v>2236</v>
      </c>
      <c r="J1435" s="11">
        <v>-2000</v>
      </c>
      <c r="K1435" s="11">
        <v>-1275</v>
      </c>
      <c r="L1435" s="11">
        <f t="shared" si="32"/>
        <v>-3275</v>
      </c>
      <c r="M1435" s="11">
        <f t="shared" si="33"/>
        <v>-1039</v>
      </c>
    </row>
    <row r="1436" spans="1:13">
      <c r="A1436" s="7">
        <v>45265</v>
      </c>
      <c r="B1436" s="8">
        <v>84.757116104870235</v>
      </c>
      <c r="E1436" s="8">
        <v>86.3</v>
      </c>
      <c r="F1436" s="10">
        <f>AVERAGE($E$1098:E1436)</f>
        <v>85.955309734513264</v>
      </c>
      <c r="I1436" s="11">
        <v>2289</v>
      </c>
      <c r="J1436" s="11">
        <v>-2000</v>
      </c>
      <c r="K1436" s="11">
        <v>-1060</v>
      </c>
      <c r="L1436" s="11">
        <f t="shared" si="32"/>
        <v>-3060</v>
      </c>
      <c r="M1436" s="11">
        <f t="shared" si="33"/>
        <v>-771</v>
      </c>
    </row>
    <row r="1437" spans="1:13">
      <c r="A1437" s="7">
        <v>45266</v>
      </c>
      <c r="B1437" s="8">
        <v>84.690449438203572</v>
      </c>
      <c r="E1437" s="8">
        <v>85.4</v>
      </c>
      <c r="F1437" s="10">
        <f>AVERAGE($E$1098:E1437)</f>
        <v>85.953676470588221</v>
      </c>
      <c r="I1437" s="11">
        <v>1830</v>
      </c>
      <c r="J1437" s="11">
        <v>-2000</v>
      </c>
      <c r="K1437" s="11">
        <v>-816</v>
      </c>
      <c r="L1437" s="11">
        <f t="shared" si="32"/>
        <v>-2816</v>
      </c>
      <c r="M1437" s="11">
        <f t="shared" si="33"/>
        <v>-986</v>
      </c>
    </row>
    <row r="1438" spans="1:13">
      <c r="A1438" s="7">
        <v>45267</v>
      </c>
      <c r="B1438" s="8">
        <v>84.623782771536909</v>
      </c>
      <c r="E1438" s="8">
        <v>84.8</v>
      </c>
      <c r="F1438" s="10">
        <f>AVERAGE($E$1098:E1438)</f>
        <v>85.950293255131953</v>
      </c>
      <c r="I1438" s="11">
        <v>2181</v>
      </c>
      <c r="J1438" s="11">
        <v>-2000</v>
      </c>
      <c r="K1438" s="11">
        <v>-468</v>
      </c>
      <c r="L1438" s="11">
        <f t="shared" ref="L1438:L1465" si="34">SUM(J1438:K1438)</f>
        <v>-2468</v>
      </c>
      <c r="M1438" s="11">
        <f t="shared" ref="M1438:M1465" si="35">I1438+J1438+K1438</f>
        <v>-287</v>
      </c>
    </row>
    <row r="1439" spans="1:13">
      <c r="A1439" s="7">
        <v>45268</v>
      </c>
      <c r="B1439" s="8">
        <v>84.557116104870246</v>
      </c>
      <c r="E1439" s="8">
        <v>84.1</v>
      </c>
      <c r="F1439" s="10">
        <f>AVERAGE($E$1098:E1439)</f>
        <v>85.94488304093565</v>
      </c>
      <c r="I1439" s="11">
        <v>2307</v>
      </c>
      <c r="J1439" s="11">
        <v>-2000</v>
      </c>
      <c r="K1439" s="11">
        <v>-375</v>
      </c>
      <c r="L1439" s="11">
        <f t="shared" si="34"/>
        <v>-2375</v>
      </c>
      <c r="M1439" s="11">
        <f t="shared" si="35"/>
        <v>-68</v>
      </c>
    </row>
    <row r="1440" spans="1:13">
      <c r="A1440" s="7">
        <v>45269</v>
      </c>
      <c r="B1440" s="8">
        <v>84.490449438203584</v>
      </c>
      <c r="E1440" s="8">
        <v>84.5</v>
      </c>
      <c r="F1440" s="10">
        <f>AVERAGE($E$1098:E1440)</f>
        <v>85.940670553935846</v>
      </c>
      <c r="I1440" s="11">
        <v>2003</v>
      </c>
      <c r="J1440" s="11">
        <v>-2000</v>
      </c>
      <c r="K1440" s="11">
        <v>-361</v>
      </c>
      <c r="L1440" s="11">
        <f t="shared" si="34"/>
        <v>-2361</v>
      </c>
      <c r="M1440" s="11">
        <f t="shared" si="35"/>
        <v>-358</v>
      </c>
    </row>
    <row r="1441" spans="1:13">
      <c r="A1441" s="7">
        <v>45270</v>
      </c>
      <c r="B1441" s="8">
        <v>84.423782771536921</v>
      </c>
      <c r="E1441" s="8">
        <v>84.6</v>
      </c>
      <c r="F1441" s="10">
        <f>AVERAGE($E$1098:E1441)</f>
        <v>85.936773255813932</v>
      </c>
      <c r="I1441" s="11">
        <v>2153</v>
      </c>
      <c r="J1441" s="11">
        <v>-2000</v>
      </c>
      <c r="K1441" s="11">
        <v>-554</v>
      </c>
      <c r="L1441" s="11">
        <f t="shared" si="34"/>
        <v>-2554</v>
      </c>
      <c r="M1441" s="11">
        <f t="shared" si="35"/>
        <v>-401</v>
      </c>
    </row>
    <row r="1442" spans="1:13">
      <c r="A1442" s="7">
        <v>45271</v>
      </c>
      <c r="B1442" s="8">
        <v>84.357116104870258</v>
      </c>
      <c r="E1442" s="8">
        <v>85.7</v>
      </c>
      <c r="F1442" s="10">
        <f>AVERAGE($E$1098:E1442)</f>
        <v>85.93608695652172</v>
      </c>
      <c r="I1442" s="11">
        <v>2024</v>
      </c>
      <c r="J1442" s="11">
        <v>-2000</v>
      </c>
      <c r="K1442" s="11">
        <v>-858</v>
      </c>
      <c r="L1442" s="11">
        <f t="shared" si="34"/>
        <v>-2858</v>
      </c>
      <c r="M1442" s="11">
        <f t="shared" si="35"/>
        <v>-834</v>
      </c>
    </row>
    <row r="1443" spans="1:13">
      <c r="A1443" s="7">
        <v>45272</v>
      </c>
      <c r="B1443" s="8">
        <v>84.290449438203595</v>
      </c>
      <c r="E1443" s="8">
        <v>85.2</v>
      </c>
      <c r="F1443" s="10">
        <f>AVERAGE($E$1098:E1443)</f>
        <v>85.933959537572235</v>
      </c>
      <c r="I1443" s="11">
        <v>2365</v>
      </c>
      <c r="J1443" s="11">
        <v>-2000</v>
      </c>
      <c r="K1443" s="11">
        <v>-635</v>
      </c>
      <c r="L1443" s="11">
        <f t="shared" si="34"/>
        <v>-2635</v>
      </c>
      <c r="M1443" s="11">
        <f t="shared" si="35"/>
        <v>-270</v>
      </c>
    </row>
    <row r="1444" spans="1:13">
      <c r="A1444" s="7">
        <v>45273</v>
      </c>
      <c r="B1444" s="8">
        <v>84.223782771536932</v>
      </c>
      <c r="E1444" s="8">
        <v>85.5</v>
      </c>
      <c r="F1444" s="10">
        <f>AVERAGE($E$1098:E1444)</f>
        <v>85.932708933717564</v>
      </c>
      <c r="I1444" s="11">
        <v>2149</v>
      </c>
      <c r="J1444" s="11">
        <v>-2000</v>
      </c>
      <c r="K1444" s="11">
        <v>-724</v>
      </c>
      <c r="L1444" s="11">
        <f t="shared" si="34"/>
        <v>-2724</v>
      </c>
      <c r="M1444" s="11">
        <f t="shared" si="35"/>
        <v>-575</v>
      </c>
    </row>
    <row r="1445" spans="1:13">
      <c r="A1445" s="7">
        <v>45274</v>
      </c>
      <c r="B1445" s="8">
        <v>84.157116104870269</v>
      </c>
      <c r="E1445" s="8">
        <v>85.3</v>
      </c>
      <c r="F1445" s="10">
        <f>AVERAGE($E$1098:E1445)</f>
        <v>85.930890804597681</v>
      </c>
      <c r="I1445" s="11">
        <v>2453</v>
      </c>
      <c r="J1445" s="11">
        <v>-2000</v>
      </c>
      <c r="K1445" s="11">
        <v>-1174</v>
      </c>
      <c r="L1445" s="11">
        <f t="shared" si="34"/>
        <v>-3174</v>
      </c>
      <c r="M1445" s="11">
        <f t="shared" si="35"/>
        <v>-721</v>
      </c>
    </row>
    <row r="1446" spans="1:13">
      <c r="A1446" s="7">
        <v>45275</v>
      </c>
      <c r="B1446" s="8">
        <v>84.090449438203606</v>
      </c>
      <c r="E1446" s="8">
        <v>84.9</v>
      </c>
      <c r="F1446" s="10">
        <f>AVERAGE($E$1098:E1446)</f>
        <v>85.927936962750707</v>
      </c>
      <c r="I1446" s="11">
        <v>2742</v>
      </c>
      <c r="J1446" s="11">
        <v>-2000</v>
      </c>
      <c r="K1446" s="11">
        <v>-747</v>
      </c>
      <c r="L1446" s="11">
        <f t="shared" si="34"/>
        <v>-2747</v>
      </c>
      <c r="M1446" s="11">
        <f t="shared" si="35"/>
        <v>-5</v>
      </c>
    </row>
    <row r="1447" spans="1:13">
      <c r="A1447" s="7">
        <v>45276</v>
      </c>
      <c r="B1447" s="8">
        <v>84.023782771536943</v>
      </c>
      <c r="E1447" s="8">
        <v>85.5</v>
      </c>
      <c r="F1447" s="10">
        <f>AVERAGE($E$1098:E1447)</f>
        <v>85.926714285714269</v>
      </c>
      <c r="I1447" s="11">
        <v>1629</v>
      </c>
      <c r="J1447" s="11">
        <v>-2000</v>
      </c>
      <c r="K1447" s="11">
        <v>-730</v>
      </c>
      <c r="L1447" s="11">
        <f t="shared" si="34"/>
        <v>-2730</v>
      </c>
      <c r="M1447" s="11">
        <f t="shared" si="35"/>
        <v>-1101</v>
      </c>
    </row>
    <row r="1448" spans="1:13">
      <c r="A1448" s="7">
        <v>45277</v>
      </c>
      <c r="B1448" s="8">
        <v>83.957116104870281</v>
      </c>
      <c r="E1448" s="8">
        <v>85.4</v>
      </c>
      <c r="F1448" s="10">
        <f>AVERAGE($E$1098:E1448)</f>
        <v>85.925213675213669</v>
      </c>
      <c r="I1448" s="11">
        <v>2803</v>
      </c>
      <c r="J1448" s="11">
        <v>-2000</v>
      </c>
      <c r="K1448" s="11">
        <v>-991</v>
      </c>
      <c r="L1448" s="11">
        <f t="shared" si="34"/>
        <v>-2991</v>
      </c>
      <c r="M1448" s="11">
        <f t="shared" si="35"/>
        <v>-188</v>
      </c>
    </row>
    <row r="1449" spans="1:13">
      <c r="A1449" s="7">
        <v>45278</v>
      </c>
      <c r="B1449" s="8">
        <v>83.890449438203618</v>
      </c>
      <c r="E1449" s="8">
        <v>86.2</v>
      </c>
      <c r="F1449" s="10">
        <f>AVERAGE($E$1098:E1449)</f>
        <v>85.925994318181807</v>
      </c>
      <c r="I1449" s="11">
        <v>2095</v>
      </c>
      <c r="J1449" s="11">
        <v>-2000</v>
      </c>
      <c r="K1449" s="11">
        <v>-766</v>
      </c>
      <c r="L1449" s="11">
        <f t="shared" si="34"/>
        <v>-2766</v>
      </c>
      <c r="M1449" s="11">
        <f t="shared" si="35"/>
        <v>-671</v>
      </c>
    </row>
    <row r="1450" spans="1:13">
      <c r="A1450" s="7">
        <v>45279</v>
      </c>
      <c r="B1450" s="8">
        <v>83.823782771536955</v>
      </c>
      <c r="E1450" s="8">
        <v>85.9</v>
      </c>
      <c r="F1450" s="10">
        <f>AVERAGE($E$1098:E1450)</f>
        <v>85.925920679886687</v>
      </c>
      <c r="I1450" s="11">
        <v>2237</v>
      </c>
      <c r="J1450" s="11">
        <v>-2000</v>
      </c>
      <c r="K1450" s="11">
        <v>-730</v>
      </c>
      <c r="L1450" s="11">
        <f t="shared" si="34"/>
        <v>-2730</v>
      </c>
      <c r="M1450" s="11">
        <f t="shared" si="35"/>
        <v>-493</v>
      </c>
    </row>
    <row r="1451" spans="1:13">
      <c r="A1451" s="7">
        <v>45280</v>
      </c>
      <c r="B1451" s="8">
        <v>83.757116104870292</v>
      </c>
      <c r="E1451" s="8">
        <v>85.7</v>
      </c>
      <c r="F1451" s="10">
        <f>AVERAGE($E$1098:E1451)</f>
        <v>85.925282485875698</v>
      </c>
      <c r="I1451" s="11">
        <v>2084</v>
      </c>
      <c r="J1451" s="11">
        <v>-2000</v>
      </c>
      <c r="K1451" s="11">
        <v>-1084</v>
      </c>
      <c r="L1451" s="11">
        <f t="shared" si="34"/>
        <v>-3084</v>
      </c>
      <c r="M1451" s="11">
        <f t="shared" si="35"/>
        <v>-1000</v>
      </c>
    </row>
    <row r="1452" spans="1:13">
      <c r="A1452" s="7">
        <v>45281</v>
      </c>
      <c r="B1452" s="8">
        <v>83.690449438203629</v>
      </c>
      <c r="E1452" s="8">
        <v>84.7</v>
      </c>
      <c r="F1452" s="10">
        <f>AVERAGE($E$1098:E1452)</f>
        <v>85.921830985915491</v>
      </c>
      <c r="I1452" s="11">
        <v>2135</v>
      </c>
      <c r="J1452" s="11">
        <v>-2000</v>
      </c>
      <c r="K1452" s="11">
        <v>-731</v>
      </c>
      <c r="L1452" s="11">
        <f t="shared" si="34"/>
        <v>-2731</v>
      </c>
      <c r="M1452" s="11">
        <f t="shared" si="35"/>
        <v>-596</v>
      </c>
    </row>
    <row r="1453" spans="1:13">
      <c r="A1453" s="7">
        <v>45282</v>
      </c>
      <c r="B1453" s="8">
        <v>83.623782771536966</v>
      </c>
      <c r="E1453" s="8">
        <v>84.9</v>
      </c>
      <c r="F1453" s="10">
        <f>AVERAGE($E$1098:E1453)</f>
        <v>85.918960674157304</v>
      </c>
      <c r="I1453" s="11">
        <v>2982</v>
      </c>
      <c r="J1453" s="11">
        <v>-2000</v>
      </c>
      <c r="K1453" s="11">
        <v>-1129</v>
      </c>
      <c r="L1453" s="11">
        <f t="shared" si="34"/>
        <v>-3129</v>
      </c>
      <c r="M1453" s="11">
        <f t="shared" si="35"/>
        <v>-147</v>
      </c>
    </row>
    <row r="1454" spans="1:13">
      <c r="A1454" s="7">
        <v>45283</v>
      </c>
      <c r="B1454" s="8">
        <v>83.557116104870303</v>
      </c>
      <c r="E1454" s="8">
        <v>85</v>
      </c>
      <c r="F1454" s="10">
        <f>AVERAGE($E$1098:E1454)</f>
        <v>85.916386554621852</v>
      </c>
      <c r="I1454" s="11">
        <v>2680</v>
      </c>
      <c r="J1454" s="11">
        <v>-2000</v>
      </c>
      <c r="K1454" s="11">
        <v>-1261</v>
      </c>
      <c r="L1454" s="11">
        <f t="shared" si="34"/>
        <v>-3261</v>
      </c>
      <c r="M1454" s="11">
        <f t="shared" si="35"/>
        <v>-581</v>
      </c>
    </row>
    <row r="1455" spans="1:13">
      <c r="A1455" s="7">
        <v>45284</v>
      </c>
      <c r="B1455" s="8">
        <v>83.49044943820364</v>
      </c>
      <c r="E1455" s="8">
        <v>85</v>
      </c>
      <c r="F1455" s="10">
        <f>AVERAGE($E$1098:E1455)</f>
        <v>85.913826815642466</v>
      </c>
      <c r="I1455" s="11">
        <v>5000</v>
      </c>
      <c r="J1455" s="11">
        <v>-2000</v>
      </c>
      <c r="K1455" s="11">
        <v>-660</v>
      </c>
      <c r="L1455" s="11">
        <f t="shared" si="34"/>
        <v>-2660</v>
      </c>
      <c r="M1455" s="11">
        <f t="shared" si="35"/>
        <v>2340</v>
      </c>
    </row>
    <row r="1456" spans="1:13">
      <c r="A1456" s="7">
        <v>45285</v>
      </c>
      <c r="B1456" s="8">
        <v>83.423782771536978</v>
      </c>
      <c r="E1456" s="8">
        <v>87</v>
      </c>
      <c r="F1456" s="10">
        <f>AVERAGE($E$1098:E1456)</f>
        <v>85.916852367688023</v>
      </c>
      <c r="I1456" s="11">
        <v>5000</v>
      </c>
      <c r="J1456" s="11">
        <v>-2000</v>
      </c>
      <c r="K1456" s="11">
        <v>-722</v>
      </c>
      <c r="L1456" s="11">
        <f t="shared" si="34"/>
        <v>-2722</v>
      </c>
      <c r="M1456" s="11">
        <f t="shared" si="35"/>
        <v>2278</v>
      </c>
    </row>
    <row r="1457" spans="1:17">
      <c r="A1457" s="7">
        <v>45286</v>
      </c>
      <c r="B1457" s="8">
        <v>83.357116104870315</v>
      </c>
      <c r="E1457" s="8">
        <v>88.5</v>
      </c>
      <c r="F1457" s="10">
        <f>AVERAGE($E$1098:E1457)</f>
        <v>85.924027777777781</v>
      </c>
      <c r="I1457" s="11">
        <v>5000</v>
      </c>
      <c r="J1457" s="11">
        <v>-2000</v>
      </c>
      <c r="K1457" s="11">
        <v>-428</v>
      </c>
      <c r="L1457" s="11">
        <f t="shared" si="34"/>
        <v>-2428</v>
      </c>
      <c r="M1457" s="11">
        <f t="shared" si="35"/>
        <v>2572</v>
      </c>
    </row>
    <row r="1458" spans="1:17">
      <c r="A1458" s="7">
        <v>45287</v>
      </c>
      <c r="B1458" s="8">
        <v>83.290449438203652</v>
      </c>
      <c r="E1458" s="8">
        <v>88.9</v>
      </c>
      <c r="F1458" s="10">
        <f>AVERAGE($E$1098:E1458)</f>
        <v>85.932271468144052</v>
      </c>
      <c r="I1458" s="11">
        <v>2634</v>
      </c>
      <c r="J1458" s="11">
        <v>-2000</v>
      </c>
      <c r="K1458" s="11">
        <v>-1268</v>
      </c>
      <c r="L1458" s="11">
        <f t="shared" si="34"/>
        <v>-3268</v>
      </c>
      <c r="M1458" s="11">
        <f t="shared" si="35"/>
        <v>-634</v>
      </c>
    </row>
    <row r="1459" spans="1:17">
      <c r="A1459" s="7">
        <v>45288</v>
      </c>
      <c r="B1459" s="8">
        <v>83.223782771536989</v>
      </c>
      <c r="E1459" s="13">
        <v>88.1</v>
      </c>
      <c r="F1459" s="10">
        <f>AVERAGE($E$1098:E1459)</f>
        <v>85.938259668508294</v>
      </c>
      <c r="I1459" s="11">
        <v>2625</v>
      </c>
      <c r="J1459" s="11">
        <v>-2000</v>
      </c>
      <c r="K1459" s="11">
        <v>-545</v>
      </c>
      <c r="L1459" s="11">
        <f t="shared" si="34"/>
        <v>-2545</v>
      </c>
      <c r="M1459" s="11">
        <f t="shared" si="35"/>
        <v>80</v>
      </c>
    </row>
    <row r="1460" spans="1:17">
      <c r="A1460" s="7">
        <v>45289</v>
      </c>
      <c r="B1460" s="8">
        <v>83.157116104870326</v>
      </c>
      <c r="E1460" s="13">
        <v>87</v>
      </c>
      <c r="F1460" s="10">
        <f>AVERAGE($E$1098:E1460)</f>
        <v>85.941184573002758</v>
      </c>
      <c r="I1460" s="11">
        <v>3187</v>
      </c>
      <c r="J1460" s="11">
        <v>-2000</v>
      </c>
      <c r="K1460" s="11">
        <v>-584</v>
      </c>
      <c r="L1460" s="11">
        <f t="shared" si="34"/>
        <v>-2584</v>
      </c>
      <c r="M1460" s="11">
        <f t="shared" si="35"/>
        <v>603</v>
      </c>
    </row>
    <row r="1461" spans="1:17">
      <c r="A1461" s="7">
        <v>45290</v>
      </c>
      <c r="B1461" s="8">
        <v>83.090449438203663</v>
      </c>
      <c r="E1461" s="13">
        <v>86.8</v>
      </c>
      <c r="F1461" s="10">
        <f>AVERAGE($E$1098:E1461)</f>
        <v>85.943543956043953</v>
      </c>
      <c r="I1461" s="11">
        <v>2712</v>
      </c>
      <c r="J1461" s="11">
        <v>-2000</v>
      </c>
      <c r="K1461" s="11">
        <v>-966</v>
      </c>
      <c r="L1461" s="11">
        <f t="shared" si="34"/>
        <v>-2966</v>
      </c>
      <c r="M1461" s="11">
        <f t="shared" si="35"/>
        <v>-254</v>
      </c>
    </row>
    <row r="1462" spans="1:17" ht="15" thickBot="1">
      <c r="A1462" s="30">
        <v>45291</v>
      </c>
      <c r="B1462" s="31">
        <v>83.023782771537</v>
      </c>
      <c r="C1462" s="32"/>
      <c r="D1462" s="33"/>
      <c r="E1462" s="36">
        <v>86.9</v>
      </c>
      <c r="F1462" s="33">
        <f>AVERAGE($E$1098:E1462)</f>
        <v>85.946164383561651</v>
      </c>
      <c r="G1462" s="32"/>
      <c r="H1462" s="33"/>
      <c r="I1462" s="34">
        <v>4000</v>
      </c>
      <c r="J1462" s="34">
        <v>-2000</v>
      </c>
      <c r="K1462" s="34">
        <v>-1094</v>
      </c>
      <c r="L1462" s="34">
        <f t="shared" si="34"/>
        <v>-3094</v>
      </c>
      <c r="M1462" s="34">
        <f t="shared" si="35"/>
        <v>906</v>
      </c>
      <c r="N1462" s="34"/>
      <c r="O1462" s="35"/>
      <c r="P1462" s="35"/>
      <c r="Q1462" s="35"/>
    </row>
    <row r="1463" spans="1:17">
      <c r="A1463" s="7">
        <v>45292</v>
      </c>
      <c r="B1463" s="8">
        <v>84.957116104870337</v>
      </c>
      <c r="E1463" s="13">
        <v>87</v>
      </c>
      <c r="F1463" s="10">
        <f>AVERAGE($E$1463:E1463)</f>
        <v>87</v>
      </c>
      <c r="I1463" s="11">
        <v>3379</v>
      </c>
      <c r="J1463" s="11">
        <v>-2000</v>
      </c>
      <c r="K1463" s="11">
        <v>-628</v>
      </c>
      <c r="L1463" s="11">
        <f t="shared" si="34"/>
        <v>-2628</v>
      </c>
      <c r="M1463" s="11">
        <f>I1463+J1463+K1463</f>
        <v>751</v>
      </c>
    </row>
    <row r="1464" spans="1:17">
      <c r="A1464" s="7">
        <v>45293</v>
      </c>
      <c r="B1464" s="8">
        <v>84.873782771537009</v>
      </c>
      <c r="E1464" s="13">
        <v>87.3</v>
      </c>
      <c r="F1464" s="10">
        <f>AVERAGE($E$1463:E1464)</f>
        <v>87.15</v>
      </c>
      <c r="I1464" s="11">
        <v>2526</v>
      </c>
      <c r="J1464" s="11">
        <v>-2000</v>
      </c>
      <c r="K1464" s="11">
        <v>-1134</v>
      </c>
      <c r="L1464" s="11">
        <f>SUM(J1464:K1464)</f>
        <v>-3134</v>
      </c>
      <c r="M1464" s="11">
        <f>I1464+J1464+K1464</f>
        <v>-608</v>
      </c>
    </row>
    <row r="1465" spans="1:17">
      <c r="A1465" s="7">
        <v>45294</v>
      </c>
      <c r="B1465" s="8">
        <v>84.79044943820368</v>
      </c>
      <c r="E1465" s="13">
        <v>87.5</v>
      </c>
      <c r="F1465" s="10">
        <f>AVERAGE($E$1463:E1465)</f>
        <v>87.266666666666666</v>
      </c>
      <c r="I1465" s="11">
        <v>2456</v>
      </c>
      <c r="J1465" s="11">
        <v>-2000</v>
      </c>
      <c r="K1465" s="11">
        <v>-1749</v>
      </c>
      <c r="L1465" s="11">
        <f t="shared" ref="L1465:L1528" si="36">SUM(J1465:K1465)</f>
        <v>-3749</v>
      </c>
      <c r="M1465" s="11">
        <f t="shared" ref="M1465:M1528" si="37">I1465+J1465+K1465</f>
        <v>-1293</v>
      </c>
    </row>
    <row r="1466" spans="1:17">
      <c r="A1466" s="7">
        <v>45295</v>
      </c>
      <c r="B1466" s="8">
        <v>84.707116104870352</v>
      </c>
      <c r="E1466" s="13">
        <v>86.7</v>
      </c>
      <c r="F1466" s="10">
        <f>AVERAGE($E$1463:E1466)</f>
        <v>87.125</v>
      </c>
      <c r="I1466" s="11">
        <v>2127</v>
      </c>
      <c r="J1466" s="11">
        <v>-2000</v>
      </c>
      <c r="K1466" s="11">
        <v>-1061</v>
      </c>
      <c r="L1466" s="11">
        <f t="shared" si="36"/>
        <v>-3061</v>
      </c>
      <c r="M1466" s="11">
        <f t="shared" si="37"/>
        <v>-934</v>
      </c>
    </row>
    <row r="1467" spans="1:17">
      <c r="A1467" s="7">
        <v>45296</v>
      </c>
      <c r="B1467" s="8">
        <v>84.623782771537023</v>
      </c>
      <c r="E1467" s="13">
        <v>86.7</v>
      </c>
      <c r="F1467" s="10">
        <f>AVERAGE($E$1463:E1467)</f>
        <v>87.039999999999992</v>
      </c>
      <c r="I1467" s="11">
        <v>2143</v>
      </c>
      <c r="J1467" s="11">
        <v>-2000</v>
      </c>
      <c r="K1467" s="11">
        <v>-1142</v>
      </c>
      <c r="L1467" s="11">
        <f t="shared" si="36"/>
        <v>-3142</v>
      </c>
      <c r="M1467" s="11">
        <f t="shared" si="37"/>
        <v>-999</v>
      </c>
    </row>
    <row r="1468" spans="1:17">
      <c r="A1468" s="7">
        <v>45297</v>
      </c>
      <c r="B1468" s="8">
        <v>84.540449438203694</v>
      </c>
      <c r="E1468" s="13">
        <v>87.2</v>
      </c>
      <c r="F1468" s="10">
        <f>AVERAGE($E$1463:E1468)</f>
        <v>87.066666666666663</v>
      </c>
      <c r="I1468" s="11">
        <v>3692</v>
      </c>
      <c r="J1468" s="11">
        <v>-2000</v>
      </c>
      <c r="K1468" s="11">
        <v>-848</v>
      </c>
      <c r="L1468" s="11">
        <f t="shared" si="36"/>
        <v>-2848</v>
      </c>
      <c r="M1468" s="11">
        <f t="shared" si="37"/>
        <v>844</v>
      </c>
    </row>
    <row r="1469" spans="1:17">
      <c r="A1469" s="7">
        <v>45298</v>
      </c>
      <c r="B1469" s="8">
        <v>84.457116104870366</v>
      </c>
      <c r="E1469" s="13">
        <v>86.7</v>
      </c>
      <c r="F1469" s="10">
        <f>AVERAGE($E$1463:E1469)</f>
        <v>87.01428571428572</v>
      </c>
      <c r="I1469" s="11">
        <v>2326</v>
      </c>
      <c r="J1469" s="11">
        <v>-2000</v>
      </c>
      <c r="K1469" s="11">
        <v>-1114</v>
      </c>
      <c r="L1469" s="11">
        <f t="shared" si="36"/>
        <v>-3114</v>
      </c>
      <c r="M1469" s="11">
        <f t="shared" si="37"/>
        <v>-788</v>
      </c>
    </row>
    <row r="1470" spans="1:17">
      <c r="A1470" s="7">
        <v>45299</v>
      </c>
      <c r="B1470" s="8">
        <v>84.373782771537037</v>
      </c>
      <c r="E1470" s="13">
        <v>86.2</v>
      </c>
      <c r="F1470" s="10">
        <f>AVERAGE($E$1463:E1470)</f>
        <v>86.912500000000009</v>
      </c>
      <c r="I1470" s="11">
        <v>2261</v>
      </c>
      <c r="J1470" s="11">
        <v>-2000</v>
      </c>
      <c r="K1470" s="11">
        <v>-727</v>
      </c>
      <c r="L1470" s="11">
        <f t="shared" si="36"/>
        <v>-2727</v>
      </c>
      <c r="M1470" s="11">
        <f t="shared" si="37"/>
        <v>-466</v>
      </c>
    </row>
    <row r="1471" spans="1:17">
      <c r="A1471" s="7">
        <v>45300</v>
      </c>
      <c r="B1471" s="8">
        <v>84.290449438203709</v>
      </c>
      <c r="E1471" s="13">
        <v>86.7</v>
      </c>
      <c r="F1471" s="10">
        <f>AVERAGE($E$1463:E1471)</f>
        <v>86.8888888888889</v>
      </c>
      <c r="I1471" s="11">
        <v>2345</v>
      </c>
      <c r="J1471" s="11">
        <v>-2000</v>
      </c>
      <c r="K1471" s="11">
        <v>-1222</v>
      </c>
      <c r="L1471" s="11">
        <f t="shared" si="36"/>
        <v>-3222</v>
      </c>
      <c r="M1471" s="11">
        <f t="shared" si="37"/>
        <v>-877</v>
      </c>
    </row>
    <row r="1472" spans="1:17">
      <c r="A1472" s="7">
        <v>45301</v>
      </c>
      <c r="B1472" s="8">
        <v>84.20711610487038</v>
      </c>
      <c r="E1472" s="13">
        <v>86.4</v>
      </c>
      <c r="F1472" s="10">
        <f>AVERAGE($E$1463:E1472)</f>
        <v>86.84</v>
      </c>
      <c r="I1472" s="11">
        <v>2040</v>
      </c>
      <c r="J1472" s="11">
        <v>-2000</v>
      </c>
      <c r="K1472" s="11">
        <v>-616</v>
      </c>
      <c r="L1472" s="11">
        <f t="shared" si="36"/>
        <v>-2616</v>
      </c>
      <c r="M1472" s="11">
        <f t="shared" si="37"/>
        <v>-576</v>
      </c>
    </row>
    <row r="1473" spans="1:18">
      <c r="A1473" s="7">
        <v>45302</v>
      </c>
      <c r="B1473" s="8">
        <v>84.123782771537051</v>
      </c>
      <c r="E1473" s="13">
        <v>86.1</v>
      </c>
      <c r="F1473" s="10">
        <f>AVERAGE($E$1463:E1473)</f>
        <v>86.77272727272728</v>
      </c>
      <c r="I1473" s="11">
        <v>2589</v>
      </c>
      <c r="J1473" s="11">
        <v>-2000</v>
      </c>
      <c r="K1473" s="11">
        <v>-1587</v>
      </c>
      <c r="L1473" s="11">
        <f t="shared" si="36"/>
        <v>-3587</v>
      </c>
      <c r="M1473" s="11">
        <f t="shared" si="37"/>
        <v>-998</v>
      </c>
    </row>
    <row r="1474" spans="1:18">
      <c r="A1474" s="7">
        <v>45303</v>
      </c>
      <c r="B1474" s="8">
        <v>84.040449438203723</v>
      </c>
      <c r="E1474" s="13">
        <v>85.8</v>
      </c>
      <c r="F1474" s="10">
        <f>AVERAGE($E$1463:E1474)</f>
        <v>86.691666666666677</v>
      </c>
      <c r="I1474" s="11">
        <v>2240</v>
      </c>
      <c r="J1474" s="11">
        <v>-2000</v>
      </c>
      <c r="K1474" s="11">
        <v>-1279</v>
      </c>
      <c r="L1474" s="11">
        <f t="shared" si="36"/>
        <v>-3279</v>
      </c>
      <c r="M1474" s="11">
        <f t="shared" si="37"/>
        <v>-1039</v>
      </c>
    </row>
    <row r="1475" spans="1:18">
      <c r="A1475" s="7">
        <v>45304</v>
      </c>
      <c r="B1475" s="8">
        <v>83.957116104870394</v>
      </c>
      <c r="E1475" s="13">
        <v>85.8</v>
      </c>
      <c r="F1475" s="10">
        <f>AVERAGE($E$1463:E1475)</f>
        <v>86.623076923076937</v>
      </c>
      <c r="I1475" s="11">
        <v>2217</v>
      </c>
      <c r="J1475" s="11">
        <v>-2000</v>
      </c>
      <c r="K1475" s="11">
        <v>-1206</v>
      </c>
      <c r="L1475" s="11">
        <f t="shared" si="36"/>
        <v>-3206</v>
      </c>
      <c r="M1475" s="11">
        <f t="shared" si="37"/>
        <v>-989</v>
      </c>
    </row>
    <row r="1476" spans="1:18">
      <c r="A1476" s="7">
        <v>45305</v>
      </c>
      <c r="B1476" s="8">
        <v>83.873782771537066</v>
      </c>
      <c r="E1476" s="13">
        <v>86.7</v>
      </c>
      <c r="F1476" s="10">
        <f>AVERAGE($E$1463:E1476)</f>
        <v>86.628571428571448</v>
      </c>
      <c r="I1476" s="11">
        <v>2562</v>
      </c>
      <c r="J1476" s="11">
        <v>-2000</v>
      </c>
      <c r="K1476" s="11">
        <v>-1141</v>
      </c>
      <c r="L1476" s="11">
        <f t="shared" si="36"/>
        <v>-3141</v>
      </c>
      <c r="M1476" s="11">
        <f t="shared" si="37"/>
        <v>-579</v>
      </c>
    </row>
    <row r="1477" spans="1:18">
      <c r="A1477" s="7">
        <v>45306</v>
      </c>
      <c r="B1477" s="8">
        <v>83.790449438203737</v>
      </c>
      <c r="E1477" s="13">
        <v>86.1</v>
      </c>
      <c r="F1477" s="10">
        <f>AVERAGE($E$1463:E1477)</f>
        <v>86.593333333333334</v>
      </c>
      <c r="I1477" s="11">
        <v>2134</v>
      </c>
      <c r="J1477" s="11">
        <v>-2000</v>
      </c>
      <c r="K1477" s="11">
        <v>-740</v>
      </c>
      <c r="L1477" s="11">
        <f t="shared" si="36"/>
        <v>-2740</v>
      </c>
      <c r="M1477" s="11">
        <f t="shared" si="37"/>
        <v>-606</v>
      </c>
    </row>
    <row r="1478" spans="1:18">
      <c r="A1478" s="7">
        <v>45307</v>
      </c>
      <c r="B1478" s="8">
        <v>83.707116104870408</v>
      </c>
      <c r="E1478" s="13">
        <v>86.3</v>
      </c>
      <c r="F1478" s="10">
        <f>AVERAGE($E$1463:E1478)</f>
        <v>86.575000000000003</v>
      </c>
      <c r="I1478" s="11">
        <v>2288</v>
      </c>
      <c r="J1478" s="11">
        <v>-2000</v>
      </c>
      <c r="K1478" s="11">
        <v>-1359</v>
      </c>
      <c r="L1478" s="11">
        <f t="shared" si="36"/>
        <v>-3359</v>
      </c>
      <c r="M1478" s="11">
        <f t="shared" si="37"/>
        <v>-1071</v>
      </c>
    </row>
    <row r="1479" spans="1:18">
      <c r="A1479" s="7">
        <v>45308</v>
      </c>
      <c r="B1479" s="8">
        <v>83.62378277153708</v>
      </c>
      <c r="E1479" s="13">
        <v>86.4</v>
      </c>
      <c r="F1479" s="10">
        <f>AVERAGE($E$1463:E1479)</f>
        <v>86.564705882352953</v>
      </c>
      <c r="I1479" s="11">
        <v>2215</v>
      </c>
      <c r="J1479" s="11">
        <v>-2000</v>
      </c>
      <c r="K1479" s="11">
        <v>-1756</v>
      </c>
      <c r="L1479" s="11">
        <f t="shared" si="36"/>
        <v>-3756</v>
      </c>
      <c r="M1479" s="11">
        <f t="shared" si="37"/>
        <v>-1541</v>
      </c>
    </row>
    <row r="1480" spans="1:18">
      <c r="A1480" s="7">
        <v>45309</v>
      </c>
      <c r="B1480" s="8">
        <v>83.540449438203751</v>
      </c>
      <c r="E1480" s="13">
        <v>85.2</v>
      </c>
      <c r="F1480" s="10">
        <f>AVERAGE($E$1463:E1480)</f>
        <v>86.488888888888894</v>
      </c>
      <c r="I1480" s="11">
        <v>2354</v>
      </c>
      <c r="J1480" s="11">
        <v>-2000</v>
      </c>
      <c r="K1480" s="11">
        <v>-644</v>
      </c>
      <c r="L1480" s="11">
        <f t="shared" si="36"/>
        <v>-2644</v>
      </c>
      <c r="M1480" s="11">
        <f t="shared" si="37"/>
        <v>-290</v>
      </c>
    </row>
    <row r="1481" spans="1:18">
      <c r="A1481" s="37">
        <v>45310</v>
      </c>
      <c r="B1481" s="38">
        <v>83.457116104870423</v>
      </c>
      <c r="C1481" s="39"/>
      <c r="D1481" s="40"/>
      <c r="E1481" s="41">
        <v>86.5</v>
      </c>
      <c r="F1481" s="40">
        <f>AVERAGE($E$1463:E1481)</f>
        <v>86.489473684210537</v>
      </c>
      <c r="G1481" s="39"/>
      <c r="H1481" s="40"/>
      <c r="I1481" s="42">
        <v>2329</v>
      </c>
      <c r="J1481" s="42">
        <v>-2000</v>
      </c>
      <c r="K1481" s="42">
        <v>-781</v>
      </c>
      <c r="L1481" s="42">
        <f t="shared" si="36"/>
        <v>-2781</v>
      </c>
      <c r="M1481" s="42">
        <f t="shared" si="37"/>
        <v>-452</v>
      </c>
      <c r="N1481" s="42"/>
      <c r="O1481" s="43"/>
      <c r="P1481" s="43"/>
      <c r="Q1481" s="43"/>
      <c r="R1481" t="s">
        <v>11</v>
      </c>
    </row>
    <row r="1482" spans="1:18">
      <c r="A1482" s="7">
        <v>45311</v>
      </c>
      <c r="B1482" s="8">
        <v>83.373782771537094</v>
      </c>
      <c r="E1482" s="13">
        <v>86.5</v>
      </c>
      <c r="F1482" s="10">
        <f>AVERAGE($E$1463:E1482)</f>
        <v>86.490000000000009</v>
      </c>
      <c r="I1482" s="11">
        <v>2390</v>
      </c>
      <c r="J1482" s="11">
        <v>-2000</v>
      </c>
      <c r="K1482" s="11">
        <v>-267</v>
      </c>
      <c r="L1482" s="11">
        <f t="shared" si="36"/>
        <v>-2267</v>
      </c>
      <c r="M1482" s="11">
        <f t="shared" si="37"/>
        <v>123</v>
      </c>
    </row>
    <row r="1483" spans="1:18">
      <c r="A1483" s="7">
        <v>45312</v>
      </c>
      <c r="B1483" s="8">
        <v>83.290449438203765</v>
      </c>
      <c r="E1483" s="13">
        <v>86.5</v>
      </c>
      <c r="F1483" s="10">
        <f>AVERAGE($E$1463:E1483)</f>
        <v>86.490476190476201</v>
      </c>
      <c r="I1483" s="11">
        <v>2270</v>
      </c>
      <c r="J1483" s="11">
        <v>-2000</v>
      </c>
      <c r="K1483" s="11">
        <v>-244</v>
      </c>
      <c r="L1483" s="11">
        <f t="shared" si="36"/>
        <v>-2244</v>
      </c>
      <c r="M1483" s="11">
        <f t="shared" si="37"/>
        <v>26</v>
      </c>
    </row>
    <row r="1484" spans="1:18">
      <c r="A1484" s="7">
        <v>45313</v>
      </c>
      <c r="B1484" s="8">
        <v>83.207116104870437</v>
      </c>
      <c r="E1484" s="13">
        <v>86.7</v>
      </c>
      <c r="F1484" s="10">
        <f>AVERAGE($E$1463:E1484)</f>
        <v>86.500000000000014</v>
      </c>
      <c r="I1484" s="11">
        <v>2303</v>
      </c>
      <c r="J1484" s="11">
        <v>-2000</v>
      </c>
      <c r="K1484" s="11">
        <v>-335</v>
      </c>
      <c r="L1484" s="11">
        <f t="shared" si="36"/>
        <v>-2335</v>
      </c>
      <c r="M1484" s="11">
        <f t="shared" si="37"/>
        <v>-32</v>
      </c>
    </row>
    <row r="1485" spans="1:18">
      <c r="A1485" s="7">
        <v>45314</v>
      </c>
      <c r="B1485" s="8">
        <v>83.123782771537108</v>
      </c>
      <c r="E1485" s="13">
        <v>86.7</v>
      </c>
      <c r="F1485" s="10">
        <f>AVERAGE($E$1463:E1485)</f>
        <v>86.508695652173927</v>
      </c>
      <c r="I1485" s="11">
        <v>2723</v>
      </c>
      <c r="J1485" s="11">
        <v>-2000</v>
      </c>
      <c r="K1485" s="11">
        <v>-360</v>
      </c>
      <c r="L1485" s="11">
        <f t="shared" si="36"/>
        <v>-2360</v>
      </c>
      <c r="M1485" s="11">
        <f t="shared" si="37"/>
        <v>363</v>
      </c>
    </row>
    <row r="1486" spans="1:18">
      <c r="A1486" s="7">
        <v>45315</v>
      </c>
      <c r="B1486" s="8">
        <v>83.04044943820378</v>
      </c>
      <c r="E1486" s="13">
        <v>86.9</v>
      </c>
      <c r="F1486" s="10">
        <f>AVERAGE($E$1463:E1486)</f>
        <v>86.52500000000002</v>
      </c>
      <c r="I1486" s="11">
        <v>2245</v>
      </c>
      <c r="J1486" s="11">
        <v>-2000</v>
      </c>
      <c r="K1486" s="11">
        <v>-387</v>
      </c>
      <c r="L1486" s="11">
        <f t="shared" si="36"/>
        <v>-2387</v>
      </c>
      <c r="M1486" s="11">
        <f t="shared" si="37"/>
        <v>-142</v>
      </c>
    </row>
    <row r="1487" spans="1:18">
      <c r="A1487" s="7">
        <v>45316</v>
      </c>
      <c r="B1487" s="8">
        <v>82.957116104870451</v>
      </c>
      <c r="E1487" s="13">
        <v>87.1</v>
      </c>
      <c r="F1487" s="10">
        <f>AVERAGE($E$1463:E1487)</f>
        <v>86.548000000000016</v>
      </c>
      <c r="I1487" s="11">
        <v>2748</v>
      </c>
      <c r="J1487" s="11">
        <v>-2000</v>
      </c>
      <c r="K1487" s="11">
        <v>-352</v>
      </c>
      <c r="L1487" s="11">
        <f t="shared" si="36"/>
        <v>-2352</v>
      </c>
      <c r="M1487" s="11">
        <f t="shared" si="37"/>
        <v>396</v>
      </c>
    </row>
    <row r="1488" spans="1:18">
      <c r="A1488" s="7">
        <v>45317</v>
      </c>
      <c r="B1488" s="8">
        <v>82.873782771537122</v>
      </c>
      <c r="E1488" s="13">
        <v>87.2</v>
      </c>
      <c r="F1488" s="10">
        <f>AVERAGE($E$1463:E1488)</f>
        <v>86.573076923076925</v>
      </c>
      <c r="I1488" s="11">
        <v>2355</v>
      </c>
      <c r="J1488" s="11">
        <v>-2000</v>
      </c>
      <c r="K1488" s="11">
        <v>-403</v>
      </c>
      <c r="L1488" s="11">
        <f t="shared" si="36"/>
        <v>-2403</v>
      </c>
      <c r="M1488" s="11">
        <f t="shared" si="37"/>
        <v>-48</v>
      </c>
    </row>
    <row r="1489" spans="1:13">
      <c r="A1489" s="7">
        <v>45318</v>
      </c>
      <c r="B1489" s="8">
        <v>82.790449438203794</v>
      </c>
      <c r="E1489" s="13">
        <v>87.5</v>
      </c>
      <c r="F1489" s="10">
        <f>AVERAGE($E$1463:E1489)</f>
        <v>86.607407407407408</v>
      </c>
      <c r="I1489" s="11">
        <v>2783</v>
      </c>
      <c r="J1489" s="11">
        <v>-2000</v>
      </c>
      <c r="K1489" s="11">
        <v>-381</v>
      </c>
      <c r="L1489" s="11">
        <f t="shared" si="36"/>
        <v>-2381</v>
      </c>
      <c r="M1489" s="11">
        <f t="shared" si="37"/>
        <v>402</v>
      </c>
    </row>
    <row r="1490" spans="1:13">
      <c r="A1490" s="7">
        <v>45319</v>
      </c>
      <c r="B1490" s="8">
        <v>82.707116104870465</v>
      </c>
      <c r="E1490" s="13">
        <v>87.8</v>
      </c>
      <c r="F1490" s="10">
        <f>AVERAGE($E$1463:E1490)</f>
        <v>86.65</v>
      </c>
      <c r="I1490" s="11">
        <v>2599</v>
      </c>
      <c r="J1490" s="11">
        <v>-2000</v>
      </c>
      <c r="K1490" s="11">
        <v>-325</v>
      </c>
      <c r="L1490" s="11">
        <f t="shared" si="36"/>
        <v>-2325</v>
      </c>
      <c r="M1490" s="11">
        <f t="shared" si="37"/>
        <v>274</v>
      </c>
    </row>
    <row r="1491" spans="1:13">
      <c r="A1491" s="7">
        <v>45320</v>
      </c>
      <c r="B1491" s="8">
        <v>82.623782771537137</v>
      </c>
      <c r="E1491" s="13">
        <v>88.5</v>
      </c>
      <c r="F1491" s="10">
        <f>AVERAGE($E$1463:E1491)</f>
        <v>86.713793103448282</v>
      </c>
      <c r="I1491" s="11">
        <v>2491</v>
      </c>
      <c r="J1491" s="11">
        <v>-2000</v>
      </c>
      <c r="K1491" s="11">
        <f>-544</f>
        <v>-544</v>
      </c>
      <c r="L1491" s="11">
        <f t="shared" si="36"/>
        <v>-2544</v>
      </c>
      <c r="M1491" s="11">
        <f t="shared" si="37"/>
        <v>-53</v>
      </c>
    </row>
    <row r="1492" spans="1:13">
      <c r="A1492" s="7">
        <v>45321</v>
      </c>
      <c r="B1492" s="8">
        <v>82.540449438203808</v>
      </c>
      <c r="E1492" s="13">
        <v>88.2</v>
      </c>
      <c r="F1492" s="10">
        <f>AVERAGE($E$1463:E1492)</f>
        <v>86.763333333333335</v>
      </c>
      <c r="I1492" s="11">
        <v>2238</v>
      </c>
      <c r="J1492" s="11">
        <v>-2000</v>
      </c>
      <c r="K1492" s="11">
        <v>-420</v>
      </c>
      <c r="L1492" s="11">
        <f t="shared" si="36"/>
        <v>-2420</v>
      </c>
      <c r="M1492" s="11">
        <f t="shared" si="37"/>
        <v>-182</v>
      </c>
    </row>
    <row r="1493" spans="1:13">
      <c r="A1493" s="7">
        <v>45322</v>
      </c>
      <c r="B1493" s="8">
        <v>82.457116104870479</v>
      </c>
      <c r="E1493" s="13">
        <v>88.5</v>
      </c>
      <c r="F1493" s="10">
        <f>AVERAGE($E$1463:E1493)</f>
        <v>86.819354838709685</v>
      </c>
      <c r="I1493" s="11">
        <v>2238</v>
      </c>
      <c r="J1493" s="11">
        <v>-2000</v>
      </c>
      <c r="K1493" s="11">
        <v>-433</v>
      </c>
      <c r="L1493" s="11">
        <f t="shared" si="36"/>
        <v>-2433</v>
      </c>
      <c r="M1493" s="11">
        <f t="shared" si="37"/>
        <v>-195</v>
      </c>
    </row>
    <row r="1494" spans="1:13">
      <c r="A1494" s="7">
        <v>45323</v>
      </c>
      <c r="B1494" s="8">
        <v>86.973782771537145</v>
      </c>
      <c r="E1494" s="13">
        <v>88.4</v>
      </c>
      <c r="F1494" s="10">
        <f>AVERAGE($E$1463:E1494)</f>
        <v>86.868750000000006</v>
      </c>
      <c r="I1494" s="11">
        <v>2358</v>
      </c>
      <c r="J1494" s="11">
        <v>-2000</v>
      </c>
      <c r="K1494" s="11">
        <v>-749</v>
      </c>
      <c r="L1494" s="11">
        <f t="shared" si="36"/>
        <v>-2749</v>
      </c>
      <c r="M1494" s="11">
        <f t="shared" si="37"/>
        <v>-391</v>
      </c>
    </row>
    <row r="1495" spans="1:13">
      <c r="A1495" s="7">
        <v>45324</v>
      </c>
      <c r="B1495" s="8">
        <v>86.890449438203817</v>
      </c>
      <c r="E1495" s="13">
        <v>87.8</v>
      </c>
      <c r="F1495" s="10">
        <f>AVERAGE($E$1463:E1495)</f>
        <v>86.896969696969705</v>
      </c>
      <c r="I1495" s="11">
        <v>2308</v>
      </c>
      <c r="J1495" s="11">
        <v>-2000</v>
      </c>
      <c r="K1495" s="11">
        <v>-453</v>
      </c>
      <c r="L1495" s="11">
        <f t="shared" si="36"/>
        <v>-2453</v>
      </c>
      <c r="M1495" s="11">
        <f t="shared" si="37"/>
        <v>-145</v>
      </c>
    </row>
    <row r="1496" spans="1:13">
      <c r="A1496" s="7">
        <v>45325</v>
      </c>
      <c r="B1496" s="8">
        <v>86.807116104870488</v>
      </c>
      <c r="E1496" s="13">
        <v>87.8</v>
      </c>
      <c r="F1496" s="10">
        <f>AVERAGE($E$1463:E1496)</f>
        <v>86.923529411764719</v>
      </c>
      <c r="I1496" s="11">
        <v>2865</v>
      </c>
      <c r="J1496" s="11">
        <v>-2000</v>
      </c>
      <c r="K1496" s="11">
        <v>-702</v>
      </c>
      <c r="L1496" s="11">
        <f t="shared" si="36"/>
        <v>-2702</v>
      </c>
      <c r="M1496" s="11">
        <f t="shared" si="37"/>
        <v>163</v>
      </c>
    </row>
    <row r="1497" spans="1:13">
      <c r="A1497" s="7">
        <v>45326</v>
      </c>
      <c r="B1497" s="8">
        <v>86.723782771537159</v>
      </c>
      <c r="E1497" s="13">
        <v>87.9</v>
      </c>
      <c r="F1497" s="10">
        <f>AVERAGE($E$1463:E1497)</f>
        <v>86.951428571428593</v>
      </c>
      <c r="I1497" s="11">
        <v>3511</v>
      </c>
      <c r="J1497" s="11">
        <v>-2000</v>
      </c>
      <c r="K1497" s="11">
        <v>-508</v>
      </c>
      <c r="L1497" s="11">
        <f t="shared" si="36"/>
        <v>-2508</v>
      </c>
      <c r="M1497" s="11">
        <f t="shared" si="37"/>
        <v>1003</v>
      </c>
    </row>
    <row r="1498" spans="1:13">
      <c r="A1498" s="7">
        <v>45327</v>
      </c>
      <c r="B1498" s="8">
        <v>86.640449438203831</v>
      </c>
      <c r="E1498" s="13">
        <v>88.7</v>
      </c>
      <c r="F1498" s="10">
        <f>AVERAGE($E$1463:E1498)</f>
        <v>87.000000000000014</v>
      </c>
      <c r="I1498" s="11">
        <v>2761</v>
      </c>
      <c r="J1498" s="11">
        <v>-2000</v>
      </c>
      <c r="K1498" s="11">
        <v>-572</v>
      </c>
      <c r="L1498" s="11">
        <f t="shared" si="36"/>
        <v>-2572</v>
      </c>
      <c r="M1498" s="11">
        <f t="shared" si="37"/>
        <v>189</v>
      </c>
    </row>
    <row r="1499" spans="1:13">
      <c r="A1499" s="7">
        <v>45328</v>
      </c>
      <c r="B1499" s="8">
        <v>86.557116104870502</v>
      </c>
      <c r="E1499" s="13">
        <v>88.2</v>
      </c>
      <c r="F1499" s="10">
        <f>AVERAGE($E$1463:E1499)</f>
        <v>87.032432432432444</v>
      </c>
      <c r="I1499" s="11">
        <v>2344</v>
      </c>
      <c r="J1499" s="11">
        <v>-2000</v>
      </c>
      <c r="K1499" s="11">
        <v>-490</v>
      </c>
      <c r="L1499" s="11">
        <f t="shared" si="36"/>
        <v>-2490</v>
      </c>
      <c r="M1499" s="11">
        <f t="shared" si="37"/>
        <v>-146</v>
      </c>
    </row>
    <row r="1500" spans="1:13">
      <c r="A1500" s="7">
        <v>45329</v>
      </c>
      <c r="B1500" s="8">
        <v>86.473782771537174</v>
      </c>
      <c r="E1500" s="13">
        <v>88.7</v>
      </c>
      <c r="F1500" s="10">
        <f>AVERAGE($E$1463:E1500)</f>
        <v>87.076315789473682</v>
      </c>
      <c r="I1500" s="11">
        <v>2478</v>
      </c>
      <c r="J1500" s="11">
        <v>-2000</v>
      </c>
      <c r="K1500" s="11">
        <v>-494</v>
      </c>
      <c r="L1500" s="11">
        <f t="shared" si="36"/>
        <v>-2494</v>
      </c>
      <c r="M1500" s="11">
        <f t="shared" si="37"/>
        <v>-16</v>
      </c>
    </row>
    <row r="1501" spans="1:13">
      <c r="A1501" s="7">
        <v>45330</v>
      </c>
      <c r="B1501" s="8">
        <v>86.390449438203845</v>
      </c>
      <c r="E1501" s="13">
        <v>88.7</v>
      </c>
      <c r="F1501" s="10">
        <f>AVERAGE($E$1463:E1501)</f>
        <v>87.117948717948721</v>
      </c>
      <c r="I1501" s="11">
        <v>2143</v>
      </c>
      <c r="J1501" s="11">
        <v>-2000</v>
      </c>
      <c r="K1501" s="11">
        <v>-496</v>
      </c>
      <c r="L1501" s="11">
        <f t="shared" si="36"/>
        <v>-2496</v>
      </c>
      <c r="M1501" s="11">
        <f t="shared" si="37"/>
        <v>-353</v>
      </c>
    </row>
    <row r="1502" spans="1:13">
      <c r="A1502" s="7">
        <v>45331</v>
      </c>
      <c r="B1502" s="8">
        <v>86.307116104870516</v>
      </c>
      <c r="E1502" s="13">
        <v>88.5</v>
      </c>
      <c r="F1502" s="10">
        <f>AVERAGE($E$1463:E1502)</f>
        <v>87.152500000000003</v>
      </c>
      <c r="I1502" s="11">
        <v>2751</v>
      </c>
      <c r="J1502" s="11">
        <v>-2000</v>
      </c>
      <c r="K1502" s="11">
        <v>-485</v>
      </c>
      <c r="L1502" s="11">
        <f t="shared" si="36"/>
        <v>-2485</v>
      </c>
      <c r="M1502" s="11">
        <f t="shared" si="37"/>
        <v>266</v>
      </c>
    </row>
    <row r="1503" spans="1:13">
      <c r="A1503" s="7">
        <v>45332</v>
      </c>
      <c r="B1503" s="8">
        <v>86.223782771537188</v>
      </c>
      <c r="E1503" s="13">
        <v>87.7</v>
      </c>
      <c r="F1503" s="10">
        <f>AVERAGE($E$1463:E1503)</f>
        <v>87.165853658536577</v>
      </c>
      <c r="I1503" s="11">
        <v>2954</v>
      </c>
      <c r="J1503" s="11">
        <v>-2000</v>
      </c>
      <c r="K1503" s="11">
        <v>-829</v>
      </c>
      <c r="L1503" s="11">
        <f t="shared" si="36"/>
        <v>-2829</v>
      </c>
      <c r="M1503" s="11">
        <f t="shared" si="37"/>
        <v>125</v>
      </c>
    </row>
    <row r="1504" spans="1:13">
      <c r="A1504" s="7">
        <v>45333</v>
      </c>
      <c r="B1504" s="8">
        <v>86.140449438203859</v>
      </c>
      <c r="E1504" s="13">
        <v>89</v>
      </c>
      <c r="F1504" s="10">
        <f>AVERAGE($E$1463:E1504)</f>
        <v>87.209523809523802</v>
      </c>
      <c r="I1504" s="11">
        <v>2590</v>
      </c>
      <c r="J1504" s="11">
        <v>-2000</v>
      </c>
      <c r="K1504" s="11">
        <v>-784</v>
      </c>
      <c r="L1504" s="11">
        <f t="shared" si="36"/>
        <v>-2784</v>
      </c>
      <c r="M1504" s="11">
        <f t="shared" si="37"/>
        <v>-194</v>
      </c>
    </row>
    <row r="1505" spans="1:13">
      <c r="A1505" s="7">
        <v>45334</v>
      </c>
      <c r="B1505" s="8">
        <v>86.057116104870531</v>
      </c>
      <c r="E1505" s="13">
        <v>88.8</v>
      </c>
      <c r="F1505" s="10">
        <f>AVERAGE($E$1463:E1505)</f>
        <v>87.246511627906969</v>
      </c>
      <c r="I1505" s="11">
        <v>2100</v>
      </c>
      <c r="J1505" s="11">
        <v>-2000</v>
      </c>
      <c r="K1505" s="11">
        <v>-709</v>
      </c>
      <c r="L1505" s="11">
        <f t="shared" si="36"/>
        <v>-2709</v>
      </c>
      <c r="M1505" s="11">
        <f t="shared" si="37"/>
        <v>-609</v>
      </c>
    </row>
    <row r="1506" spans="1:13">
      <c r="A1506" s="7">
        <v>45335</v>
      </c>
      <c r="B1506" s="8">
        <v>85.973782771537202</v>
      </c>
      <c r="E1506" s="13">
        <v>88.4</v>
      </c>
      <c r="F1506" s="10">
        <f>AVERAGE($E$1463:E1506)</f>
        <v>87.272727272727266</v>
      </c>
      <c r="I1506" s="11">
        <v>2155</v>
      </c>
      <c r="J1506" s="11">
        <v>-2000</v>
      </c>
      <c r="K1506" s="11">
        <v>-1123</v>
      </c>
      <c r="L1506" s="11">
        <f t="shared" si="36"/>
        <v>-3123</v>
      </c>
      <c r="M1506" s="11">
        <f t="shared" si="37"/>
        <v>-968</v>
      </c>
    </row>
    <row r="1507" spans="1:13">
      <c r="A1507" s="7">
        <v>45336</v>
      </c>
      <c r="B1507" s="8">
        <v>85.890449438203873</v>
      </c>
      <c r="E1507" s="13">
        <v>87.5</v>
      </c>
      <c r="F1507" s="10">
        <f>AVERAGE($E$1463:E1507)</f>
        <v>87.277777777777771</v>
      </c>
      <c r="I1507" s="11">
        <v>2017</v>
      </c>
      <c r="J1507" s="11">
        <v>-2000</v>
      </c>
      <c r="K1507" s="11">
        <v>-366</v>
      </c>
      <c r="L1507" s="11">
        <f t="shared" si="36"/>
        <v>-2366</v>
      </c>
      <c r="M1507" s="11">
        <f t="shared" si="37"/>
        <v>-349</v>
      </c>
    </row>
    <row r="1508" spans="1:13">
      <c r="A1508" s="7">
        <v>45337</v>
      </c>
      <c r="B1508" s="8">
        <v>85.807116104870545</v>
      </c>
      <c r="E1508" s="13">
        <v>88.2</v>
      </c>
      <c r="F1508" s="10">
        <f>AVERAGE($E$1463:E1508)</f>
        <v>87.297826086956519</v>
      </c>
      <c r="I1508" s="11">
        <v>1700</v>
      </c>
      <c r="J1508" s="11">
        <v>-2000</v>
      </c>
      <c r="K1508" s="11">
        <v>-786</v>
      </c>
      <c r="L1508" s="11">
        <f t="shared" si="36"/>
        <v>-2786</v>
      </c>
      <c r="M1508" s="11">
        <f t="shared" si="37"/>
        <v>-1086</v>
      </c>
    </row>
    <row r="1509" spans="1:13">
      <c r="A1509" s="7">
        <v>45338</v>
      </c>
      <c r="B1509" s="8">
        <v>85.723782771537216</v>
      </c>
      <c r="E1509" s="13">
        <v>87.3</v>
      </c>
      <c r="F1509" s="10">
        <f>AVERAGE($E$1463:E1509)</f>
        <v>87.297872340425528</v>
      </c>
      <c r="I1509" s="11">
        <v>2030</v>
      </c>
      <c r="J1509" s="11">
        <v>-2000</v>
      </c>
      <c r="K1509" s="11">
        <v>-712</v>
      </c>
      <c r="L1509" s="11">
        <f t="shared" si="36"/>
        <v>-2712</v>
      </c>
      <c r="M1509" s="11">
        <f t="shared" si="37"/>
        <v>-682</v>
      </c>
    </row>
    <row r="1510" spans="1:13">
      <c r="A1510" s="7">
        <v>45339</v>
      </c>
      <c r="B1510" s="8">
        <v>85.640449438203888</v>
      </c>
      <c r="E1510" s="13">
        <v>86.3</v>
      </c>
      <c r="F1510" s="10">
        <f>AVERAGE($E$1463:E1510)</f>
        <v>87.277083333333337</v>
      </c>
      <c r="I1510" s="11">
        <v>2039</v>
      </c>
      <c r="J1510" s="11">
        <v>-2000</v>
      </c>
      <c r="K1510" s="11">
        <v>-1093</v>
      </c>
      <c r="L1510" s="11">
        <f t="shared" si="36"/>
        <v>-3093</v>
      </c>
      <c r="M1510" s="11">
        <f t="shared" si="37"/>
        <v>-1054</v>
      </c>
    </row>
    <row r="1511" spans="1:13">
      <c r="A1511" s="7">
        <v>45340</v>
      </c>
      <c r="B1511" s="8">
        <v>85.557116104870559</v>
      </c>
      <c r="E1511" s="13">
        <v>86.6</v>
      </c>
      <c r="F1511" s="10">
        <f>AVERAGE($E$1463:E1511)</f>
        <v>87.263265306122463</v>
      </c>
      <c r="I1511" s="11">
        <v>2302</v>
      </c>
      <c r="J1511" s="11">
        <v>-2000</v>
      </c>
      <c r="K1511" s="11">
        <v>-686</v>
      </c>
      <c r="L1511" s="11">
        <f t="shared" si="36"/>
        <v>-2686</v>
      </c>
      <c r="M1511" s="11">
        <f t="shared" si="37"/>
        <v>-384</v>
      </c>
    </row>
    <row r="1512" spans="1:13">
      <c r="A1512" s="7">
        <v>45341</v>
      </c>
      <c r="B1512" s="8">
        <v>85.47378277153723</v>
      </c>
      <c r="E1512" s="13">
        <v>87.2</v>
      </c>
      <c r="F1512" s="10">
        <f>AVERAGE($E$1463:E1512)</f>
        <v>87.262</v>
      </c>
      <c r="I1512" s="11">
        <v>2144</v>
      </c>
      <c r="J1512" s="11">
        <v>-2000</v>
      </c>
      <c r="K1512" s="11">
        <v>-650</v>
      </c>
      <c r="L1512" s="11">
        <f t="shared" si="36"/>
        <v>-2650</v>
      </c>
      <c r="M1512" s="11">
        <f t="shared" si="37"/>
        <v>-506</v>
      </c>
    </row>
    <row r="1513" spans="1:13">
      <c r="A1513" s="7">
        <v>45342</v>
      </c>
      <c r="B1513" s="8">
        <v>85.390449438203902</v>
      </c>
      <c r="E1513" s="13">
        <v>86.4</v>
      </c>
      <c r="F1513" s="10">
        <f>AVERAGE($E$1463:E1513)</f>
        <v>87.245098039215691</v>
      </c>
      <c r="I1513" s="11">
        <v>3048</v>
      </c>
      <c r="J1513" s="11">
        <v>-2000</v>
      </c>
      <c r="K1513" s="11">
        <v>-1043</v>
      </c>
      <c r="L1513" s="11">
        <f t="shared" si="36"/>
        <v>-3043</v>
      </c>
      <c r="M1513" s="11">
        <f t="shared" si="37"/>
        <v>5</v>
      </c>
    </row>
    <row r="1514" spans="1:13">
      <c r="A1514" s="7">
        <v>45343</v>
      </c>
      <c r="B1514" s="8">
        <v>85.307116104870573</v>
      </c>
      <c r="E1514" s="13">
        <v>86.2</v>
      </c>
      <c r="F1514" s="10">
        <f>AVERAGE($E$1463:E1514)</f>
        <v>87.224999999999994</v>
      </c>
      <c r="I1514" s="11">
        <v>2113</v>
      </c>
      <c r="J1514" s="11">
        <v>-2000</v>
      </c>
      <c r="K1514" s="11">
        <v>-1033</v>
      </c>
      <c r="L1514" s="11">
        <f t="shared" si="36"/>
        <v>-3033</v>
      </c>
      <c r="M1514" s="11">
        <f t="shared" si="37"/>
        <v>-920</v>
      </c>
    </row>
    <row r="1515" spans="1:13">
      <c r="A1515" s="7">
        <v>45344</v>
      </c>
      <c r="B1515" s="8">
        <v>85.223782771537245</v>
      </c>
      <c r="E1515" s="13">
        <v>86</v>
      </c>
      <c r="F1515" s="10">
        <f>AVERAGE($E$1463:E1515)</f>
        <v>87.201886792452825</v>
      </c>
      <c r="I1515" s="11">
        <v>2356</v>
      </c>
      <c r="J1515" s="11">
        <v>-2000</v>
      </c>
      <c r="K1515" s="11">
        <v>-728</v>
      </c>
      <c r="L1515" s="11">
        <f t="shared" si="36"/>
        <v>-2728</v>
      </c>
      <c r="M1515" s="11">
        <f t="shared" si="37"/>
        <v>-372</v>
      </c>
    </row>
    <row r="1516" spans="1:13">
      <c r="A1516" s="7">
        <v>45345</v>
      </c>
      <c r="B1516" s="8">
        <v>85.140449438203916</v>
      </c>
      <c r="E1516" s="13">
        <v>86</v>
      </c>
      <c r="F1516" s="10">
        <f>AVERAGE($E$1463:E1516)</f>
        <v>87.17962962962963</v>
      </c>
      <c r="I1516" s="11">
        <v>3403</v>
      </c>
      <c r="J1516" s="11">
        <v>-2000</v>
      </c>
      <c r="K1516" s="11">
        <v>-650</v>
      </c>
      <c r="L1516" s="11">
        <f t="shared" si="36"/>
        <v>-2650</v>
      </c>
      <c r="M1516" s="11">
        <f t="shared" si="37"/>
        <v>753</v>
      </c>
    </row>
    <row r="1517" spans="1:13">
      <c r="A1517" s="7">
        <v>45346</v>
      </c>
      <c r="B1517" s="8">
        <v>85.057116104870587</v>
      </c>
      <c r="E1517" s="13">
        <v>87.1</v>
      </c>
      <c r="F1517" s="10">
        <f>AVERAGE($E$1463:E1517)</f>
        <v>87.178181818181827</v>
      </c>
      <c r="I1517" s="11">
        <v>2304</v>
      </c>
      <c r="J1517" s="11">
        <v>-2000</v>
      </c>
      <c r="K1517" s="11">
        <v>-987</v>
      </c>
      <c r="L1517" s="11">
        <f t="shared" si="36"/>
        <v>-2987</v>
      </c>
      <c r="M1517" s="11">
        <f t="shared" si="37"/>
        <v>-683</v>
      </c>
    </row>
    <row r="1518" spans="1:13">
      <c r="A1518" s="7">
        <v>45347</v>
      </c>
      <c r="B1518" s="8">
        <v>84.973782771537259</v>
      </c>
      <c r="E1518" s="13">
        <v>86</v>
      </c>
      <c r="F1518" s="10">
        <f>AVERAGE($E$1463:E1518)</f>
        <v>87.157142857142858</v>
      </c>
      <c r="I1518" s="11">
        <v>2285</v>
      </c>
      <c r="J1518" s="11">
        <v>-2000</v>
      </c>
      <c r="K1518" s="11">
        <v>-920</v>
      </c>
      <c r="L1518" s="11">
        <f t="shared" si="36"/>
        <v>-2920</v>
      </c>
      <c r="M1518" s="11">
        <f t="shared" si="37"/>
        <v>-635</v>
      </c>
    </row>
    <row r="1519" spans="1:13">
      <c r="A1519" s="7">
        <v>45348</v>
      </c>
      <c r="B1519" s="8">
        <v>84.89044943820393</v>
      </c>
      <c r="E1519" s="13">
        <v>86.7</v>
      </c>
      <c r="F1519" s="10">
        <f>AVERAGE($E$1463:E1519)</f>
        <v>87.149122807017548</v>
      </c>
      <c r="I1519" s="11">
        <v>2056</v>
      </c>
      <c r="J1519" s="11">
        <v>-2000</v>
      </c>
      <c r="K1519" s="11">
        <v>-1301</v>
      </c>
      <c r="L1519" s="11">
        <f t="shared" si="36"/>
        <v>-3301</v>
      </c>
      <c r="M1519" s="11">
        <f t="shared" si="37"/>
        <v>-1245</v>
      </c>
    </row>
    <row r="1520" spans="1:13">
      <c r="A1520" s="7">
        <v>45349</v>
      </c>
      <c r="B1520" s="8">
        <v>84.807116104870602</v>
      </c>
      <c r="E1520" s="13">
        <v>86.3</v>
      </c>
      <c r="F1520" s="10">
        <f>AVERAGE($E$1463:E1520)</f>
        <v>87.134482758620692</v>
      </c>
      <c r="I1520" s="11">
        <v>2429</v>
      </c>
      <c r="J1520" s="11">
        <v>-2000</v>
      </c>
      <c r="K1520" s="11">
        <v>-849</v>
      </c>
      <c r="L1520" s="11">
        <f t="shared" si="36"/>
        <v>-2849</v>
      </c>
      <c r="M1520" s="11">
        <f t="shared" si="37"/>
        <v>-420</v>
      </c>
    </row>
    <row r="1521" spans="1:13">
      <c r="A1521" s="7">
        <v>45350</v>
      </c>
      <c r="B1521" s="8">
        <v>84.723782771537273</v>
      </c>
      <c r="E1521" s="13">
        <v>85.4</v>
      </c>
      <c r="F1521" s="10">
        <f>AVERAGE($E$1463:E1521)</f>
        <v>87.10508474576271</v>
      </c>
      <c r="I1521" s="11">
        <v>2848</v>
      </c>
      <c r="J1521" s="11">
        <v>-2000</v>
      </c>
      <c r="K1521" s="11">
        <v>-816</v>
      </c>
      <c r="L1521" s="11">
        <f t="shared" si="36"/>
        <v>-2816</v>
      </c>
      <c r="M1521" s="11">
        <f t="shared" si="37"/>
        <v>32</v>
      </c>
    </row>
    <row r="1522" spans="1:13">
      <c r="A1522" s="7">
        <v>45351</v>
      </c>
      <c r="B1522" s="8">
        <v>84.640449438203945</v>
      </c>
      <c r="E1522" s="13">
        <v>85.6</v>
      </c>
      <c r="F1522" s="10">
        <f>AVERAGE($E$1463:E1522)</f>
        <v>87.08</v>
      </c>
      <c r="I1522" s="11">
        <v>4374</v>
      </c>
      <c r="J1522" s="11">
        <v>-2000</v>
      </c>
      <c r="K1522" s="11">
        <v>-1261</v>
      </c>
      <c r="L1522" s="11">
        <f t="shared" si="36"/>
        <v>-3261</v>
      </c>
      <c r="M1522" s="11">
        <f t="shared" si="37"/>
        <v>1113</v>
      </c>
    </row>
    <row r="1523" spans="1:13">
      <c r="A1523" s="7">
        <v>45352</v>
      </c>
      <c r="B1523" s="8">
        <v>84.590449438203947</v>
      </c>
      <c r="E1523" s="13">
        <v>85.1</v>
      </c>
      <c r="F1523" s="10">
        <f>AVERAGE($E$1463:E1523)</f>
        <v>87.047540983606567</v>
      </c>
      <c r="I1523" s="11">
        <v>1867</v>
      </c>
      <c r="J1523" s="11">
        <v>-2000</v>
      </c>
      <c r="K1523" s="11">
        <v>-1895</v>
      </c>
      <c r="L1523" s="11">
        <f t="shared" si="36"/>
        <v>-3895</v>
      </c>
      <c r="M1523" s="11">
        <f t="shared" si="37"/>
        <v>-2028</v>
      </c>
    </row>
    <row r="1524" spans="1:13">
      <c r="A1524" s="7">
        <v>45353</v>
      </c>
      <c r="B1524" s="8">
        <v>84.54044943820395</v>
      </c>
      <c r="E1524" s="13">
        <v>85.6</v>
      </c>
      <c r="F1524" s="10">
        <f>AVERAGE($E$1463:E1524)</f>
        <v>87.024193548387117</v>
      </c>
      <c r="I1524" s="11">
        <v>1661</v>
      </c>
      <c r="J1524" s="11">
        <v>-2000</v>
      </c>
      <c r="K1524" s="11">
        <v>-885</v>
      </c>
      <c r="L1524" s="11">
        <f t="shared" si="36"/>
        <v>-2885</v>
      </c>
      <c r="M1524" s="11">
        <f t="shared" si="37"/>
        <v>-1224</v>
      </c>
    </row>
    <row r="1525" spans="1:13">
      <c r="A1525" s="7">
        <v>45354</v>
      </c>
      <c r="B1525" s="8">
        <v>84.490449438203953</v>
      </c>
      <c r="E1525" s="13">
        <v>86.1</v>
      </c>
      <c r="F1525" s="10">
        <f>AVERAGE($E$1463:E1525)</f>
        <v>87.009523809523827</v>
      </c>
      <c r="I1525" s="11">
        <v>1857</v>
      </c>
      <c r="J1525" s="11">
        <v>-2000</v>
      </c>
      <c r="K1525" s="11">
        <v>-535</v>
      </c>
      <c r="L1525" s="11">
        <f t="shared" si="36"/>
        <v>-2535</v>
      </c>
      <c r="M1525" s="11">
        <f t="shared" si="37"/>
        <v>-678</v>
      </c>
    </row>
    <row r="1526" spans="1:13">
      <c r="A1526" s="7">
        <v>45355</v>
      </c>
      <c r="B1526" s="8">
        <v>84.440449438203956</v>
      </c>
      <c r="E1526" s="13">
        <v>86.2</v>
      </c>
      <c r="F1526" s="10">
        <f>AVERAGE($E$1463:E1526)</f>
        <v>86.996875000000017</v>
      </c>
      <c r="I1526" s="11">
        <v>2500</v>
      </c>
      <c r="J1526" s="11">
        <v>-2000</v>
      </c>
      <c r="K1526" s="11">
        <v>-452</v>
      </c>
      <c r="L1526" s="11">
        <f t="shared" si="36"/>
        <v>-2452</v>
      </c>
      <c r="M1526" s="11">
        <f t="shared" si="37"/>
        <v>48</v>
      </c>
    </row>
    <row r="1527" spans="1:13">
      <c r="A1527" s="7">
        <v>45356</v>
      </c>
      <c r="B1527" s="8">
        <v>84.390449438203959</v>
      </c>
      <c r="E1527" s="13">
        <v>86.2</v>
      </c>
      <c r="F1527" s="10">
        <f>AVERAGE($E$1463:E1527)</f>
        <v>86.984615384615395</v>
      </c>
      <c r="I1527" s="11">
        <v>2500</v>
      </c>
      <c r="J1527" s="11">
        <v>-2000</v>
      </c>
      <c r="K1527" s="11">
        <v>-500</v>
      </c>
      <c r="L1527" s="11">
        <f t="shared" si="36"/>
        <v>-2500</v>
      </c>
      <c r="M1527" s="11">
        <f t="shared" si="37"/>
        <v>0</v>
      </c>
    </row>
    <row r="1528" spans="1:13">
      <c r="A1528" s="7">
        <v>45357</v>
      </c>
      <c r="B1528" s="8">
        <v>84.340449438203962</v>
      </c>
      <c r="E1528" s="13">
        <v>87.3</v>
      </c>
      <c r="F1528" s="10">
        <f>AVERAGE($E$1463:E1528)</f>
        <v>86.989393939393949</v>
      </c>
      <c r="I1528" s="11">
        <v>2500</v>
      </c>
      <c r="J1528" s="11">
        <v>-2000</v>
      </c>
      <c r="K1528" s="11">
        <v>-500</v>
      </c>
      <c r="L1528" s="11">
        <f t="shared" si="36"/>
        <v>-2500</v>
      </c>
      <c r="M1528" s="11">
        <f t="shared" si="37"/>
        <v>0</v>
      </c>
    </row>
    <row r="1529" spans="1:13">
      <c r="A1529" s="7">
        <v>45358</v>
      </c>
      <c r="B1529" s="8">
        <v>84.290449438203964</v>
      </c>
      <c r="E1529" s="13">
        <v>87.3</v>
      </c>
      <c r="F1529" s="10">
        <f>AVERAGE($E$1463:E1529)</f>
        <v>86.994029850746287</v>
      </c>
      <c r="I1529" s="11">
        <v>2500</v>
      </c>
      <c r="J1529" s="11">
        <v>-2000</v>
      </c>
      <c r="K1529" s="11">
        <v>-500</v>
      </c>
      <c r="L1529" s="11">
        <f t="shared" ref="L1529:L1592" si="38">SUM(J1529:K1529)</f>
        <v>-2500</v>
      </c>
      <c r="M1529" s="11">
        <f t="shared" ref="M1529:M1592" si="39">I1529+J1529+K1529</f>
        <v>0</v>
      </c>
    </row>
    <row r="1530" spans="1:13">
      <c r="A1530" s="7">
        <v>45359</v>
      </c>
      <c r="B1530" s="8">
        <v>84.240449438203967</v>
      </c>
      <c r="E1530" s="13">
        <v>87.8</v>
      </c>
      <c r="F1530" s="10">
        <f>AVERAGE($E$1463:E1530)</f>
        <v>87.0058823529412</v>
      </c>
      <c r="I1530" s="11">
        <v>2500</v>
      </c>
      <c r="J1530" s="11">
        <v>-2000</v>
      </c>
      <c r="K1530" s="11">
        <v>-500</v>
      </c>
      <c r="L1530" s="11">
        <f t="shared" si="38"/>
        <v>-2500</v>
      </c>
      <c r="M1530" s="11">
        <f t="shared" si="39"/>
        <v>0</v>
      </c>
    </row>
    <row r="1531" spans="1:13">
      <c r="A1531" s="7">
        <v>45360</v>
      </c>
      <c r="B1531" s="8">
        <v>84.19044943820397</v>
      </c>
      <c r="E1531" s="13">
        <v>87.9</v>
      </c>
      <c r="F1531" s="10">
        <f>AVERAGE($E$1463:E1531)</f>
        <v>87.018840579710158</v>
      </c>
      <c r="I1531" s="11">
        <v>2500</v>
      </c>
      <c r="J1531" s="11">
        <v>-2000</v>
      </c>
      <c r="K1531" s="11">
        <v>-500</v>
      </c>
      <c r="L1531" s="11">
        <f t="shared" si="38"/>
        <v>-2500</v>
      </c>
      <c r="M1531" s="11">
        <f t="shared" si="39"/>
        <v>0</v>
      </c>
    </row>
    <row r="1532" spans="1:13">
      <c r="A1532" s="7">
        <v>45361</v>
      </c>
      <c r="B1532" s="8">
        <v>84.140449438203973</v>
      </c>
      <c r="E1532" s="13">
        <v>88.3</v>
      </c>
      <c r="F1532" s="10">
        <f>AVERAGE($E$1463:E1532)</f>
        <v>87.037142857142882</v>
      </c>
      <c r="I1532" s="11">
        <v>2500</v>
      </c>
      <c r="J1532" s="11">
        <v>-2000</v>
      </c>
      <c r="K1532" s="11">
        <v>-500</v>
      </c>
      <c r="L1532" s="11">
        <f t="shared" si="38"/>
        <v>-2500</v>
      </c>
      <c r="M1532" s="11">
        <f t="shared" si="39"/>
        <v>0</v>
      </c>
    </row>
    <row r="1533" spans="1:13">
      <c r="A1533" s="7">
        <v>45362</v>
      </c>
      <c r="B1533" s="8">
        <v>84.090449438203976</v>
      </c>
      <c r="E1533" s="13">
        <v>88.1</v>
      </c>
      <c r="F1533" s="10">
        <f>AVERAGE($E$1463:E1533)</f>
        <v>87.052112676056367</v>
      </c>
      <c r="I1533" s="11">
        <v>2500</v>
      </c>
      <c r="J1533" s="11">
        <v>-2000</v>
      </c>
      <c r="K1533" s="11">
        <v>-315</v>
      </c>
      <c r="L1533" s="11">
        <f t="shared" si="38"/>
        <v>-2315</v>
      </c>
      <c r="M1533" s="11">
        <f t="shared" si="39"/>
        <v>185</v>
      </c>
    </row>
    <row r="1534" spans="1:13">
      <c r="A1534" s="7">
        <v>45363</v>
      </c>
      <c r="B1534" s="8">
        <v>84.040449438203979</v>
      </c>
      <c r="E1534" s="13">
        <v>86.3</v>
      </c>
      <c r="F1534" s="10">
        <f>AVERAGE($E$1463:E1534)</f>
        <v>87.041666666666686</v>
      </c>
      <c r="I1534" s="11">
        <v>2500</v>
      </c>
      <c r="J1534" s="11">
        <v>-2000</v>
      </c>
      <c r="K1534" s="11">
        <v>-500</v>
      </c>
      <c r="L1534" s="11">
        <f t="shared" si="38"/>
        <v>-2500</v>
      </c>
      <c r="M1534" s="11">
        <f t="shared" si="39"/>
        <v>0</v>
      </c>
    </row>
    <row r="1535" spans="1:13">
      <c r="A1535" s="7">
        <v>45364</v>
      </c>
      <c r="B1535" s="8">
        <v>83.990449438203981</v>
      </c>
      <c r="E1535" s="13">
        <v>86.4</v>
      </c>
      <c r="F1535" s="10">
        <f>AVERAGE($E$1463:E1535)</f>
        <v>87.032876712328786</v>
      </c>
      <c r="I1535" s="11">
        <v>2500</v>
      </c>
      <c r="J1535" s="11">
        <v>-2000</v>
      </c>
      <c r="K1535" s="11">
        <v>-500</v>
      </c>
      <c r="L1535" s="11">
        <f t="shared" si="38"/>
        <v>-2500</v>
      </c>
      <c r="M1535" s="11">
        <f t="shared" si="39"/>
        <v>0</v>
      </c>
    </row>
    <row r="1536" spans="1:13">
      <c r="A1536" s="7">
        <v>45365</v>
      </c>
      <c r="B1536" s="8">
        <v>83.940449438203984</v>
      </c>
      <c r="E1536" s="13">
        <v>86.7</v>
      </c>
      <c r="F1536" s="10">
        <f>AVERAGE($E$1463:E1536)</f>
        <v>87.028378378378392</v>
      </c>
      <c r="I1536" s="11">
        <v>2500</v>
      </c>
      <c r="J1536" s="11">
        <v>-2000</v>
      </c>
      <c r="K1536" s="11">
        <v>-500</v>
      </c>
      <c r="L1536" s="11">
        <f t="shared" si="38"/>
        <v>-2500</v>
      </c>
      <c r="M1536" s="11">
        <f t="shared" si="39"/>
        <v>0</v>
      </c>
    </row>
    <row r="1537" spans="1:13">
      <c r="A1537" s="7">
        <v>45366</v>
      </c>
      <c r="B1537" s="8">
        <v>83.890449438203987</v>
      </c>
      <c r="E1537" s="13">
        <v>87</v>
      </c>
      <c r="F1537" s="10">
        <f>AVERAGE($E$1463:E1537)</f>
        <v>87.02800000000002</v>
      </c>
      <c r="I1537" s="11">
        <v>2475</v>
      </c>
      <c r="J1537" s="11">
        <v>-2000</v>
      </c>
      <c r="K1537" s="11">
        <v>-875</v>
      </c>
      <c r="L1537" s="11">
        <f t="shared" si="38"/>
        <v>-2875</v>
      </c>
      <c r="M1537" s="11">
        <f t="shared" si="39"/>
        <v>-400</v>
      </c>
    </row>
    <row r="1538" spans="1:13">
      <c r="A1538" s="7">
        <v>45367</v>
      </c>
      <c r="B1538" s="8">
        <v>83.84044943820399</v>
      </c>
      <c r="E1538" s="13">
        <v>87.7</v>
      </c>
      <c r="F1538" s="10">
        <f>AVERAGE($E$1463:E1538)</f>
        <v>87.036842105263176</v>
      </c>
      <c r="I1538" s="11">
        <v>2450</v>
      </c>
      <c r="J1538" s="11">
        <v>-2000</v>
      </c>
      <c r="K1538" s="11">
        <v>-500</v>
      </c>
      <c r="L1538" s="11">
        <f t="shared" si="38"/>
        <v>-2500</v>
      </c>
      <c r="M1538" s="11">
        <f t="shared" si="39"/>
        <v>-50</v>
      </c>
    </row>
    <row r="1539" spans="1:13">
      <c r="A1539" s="7">
        <v>45368</v>
      </c>
      <c r="B1539" s="8">
        <v>83.790449438203993</v>
      </c>
      <c r="E1539" s="13">
        <v>87.3</v>
      </c>
      <c r="F1539" s="10">
        <f>AVERAGE($E$1463:E1539)</f>
        <v>87.040259740259756</v>
      </c>
      <c r="I1539" s="11">
        <v>2454</v>
      </c>
      <c r="J1539" s="11">
        <v>-2000</v>
      </c>
      <c r="K1539" s="11">
        <v>-500</v>
      </c>
      <c r="L1539" s="11">
        <f t="shared" si="38"/>
        <v>-2500</v>
      </c>
      <c r="M1539" s="11">
        <f t="shared" si="39"/>
        <v>-46</v>
      </c>
    </row>
    <row r="1540" spans="1:13">
      <c r="A1540" s="7">
        <v>45369</v>
      </c>
      <c r="B1540" s="8">
        <v>83.740449438203996</v>
      </c>
      <c r="E1540" s="13">
        <v>87.2</v>
      </c>
      <c r="F1540" s="10">
        <f>AVERAGE($E$1463:E1540)</f>
        <v>87.042307692307702</v>
      </c>
      <c r="I1540" s="11">
        <v>2853</v>
      </c>
      <c r="J1540" s="11">
        <v>-2000</v>
      </c>
      <c r="K1540" s="11">
        <v>-2501</v>
      </c>
      <c r="L1540" s="11">
        <f t="shared" si="38"/>
        <v>-4501</v>
      </c>
      <c r="M1540" s="11">
        <f t="shared" si="39"/>
        <v>-1648</v>
      </c>
    </row>
    <row r="1541" spans="1:13">
      <c r="A1541" s="7">
        <v>45370</v>
      </c>
      <c r="B1541" s="8">
        <v>83.690449438203999</v>
      </c>
      <c r="E1541" s="13">
        <v>86.6</v>
      </c>
      <c r="F1541" s="10">
        <f>AVERAGE($E$1463:E1541)</f>
        <v>87.036708860759518</v>
      </c>
      <c r="I1541" s="11">
        <v>2500</v>
      </c>
      <c r="J1541" s="11">
        <v>-2000</v>
      </c>
      <c r="K1541" s="11">
        <v>-679</v>
      </c>
      <c r="L1541" s="11">
        <f t="shared" si="38"/>
        <v>-2679</v>
      </c>
      <c r="M1541" s="11">
        <f t="shared" si="39"/>
        <v>-179</v>
      </c>
    </row>
    <row r="1542" spans="1:13">
      <c r="A1542" s="7">
        <v>45371</v>
      </c>
      <c r="B1542" s="8">
        <v>83.640449438204001</v>
      </c>
      <c r="E1542" s="13">
        <v>86.1</v>
      </c>
      <c r="F1542" s="10">
        <f>AVERAGE($E$1463:E1542)</f>
        <v>87.02500000000002</v>
      </c>
      <c r="I1542" s="11">
        <v>3500</v>
      </c>
      <c r="J1542" s="11">
        <v>-2000</v>
      </c>
      <c r="K1542" s="11">
        <v>-3287</v>
      </c>
      <c r="L1542" s="11">
        <f t="shared" si="38"/>
        <v>-5287</v>
      </c>
      <c r="M1542" s="11">
        <f t="shared" si="39"/>
        <v>-1787</v>
      </c>
    </row>
    <row r="1543" spans="1:13">
      <c r="A1543" s="7">
        <v>45372</v>
      </c>
      <c r="B1543" s="8">
        <v>83.590449438204004</v>
      </c>
      <c r="E1543" s="13">
        <v>85.7</v>
      </c>
      <c r="F1543" s="10">
        <f>AVERAGE($E$1463:E1543)</f>
        <v>87.008641975308663</v>
      </c>
      <c r="I1543" s="11">
        <v>2500</v>
      </c>
      <c r="J1543" s="11">
        <v>-2000</v>
      </c>
      <c r="K1543" s="11">
        <v>-878</v>
      </c>
      <c r="L1543" s="11">
        <f t="shared" si="38"/>
        <v>-2878</v>
      </c>
      <c r="M1543" s="11">
        <f t="shared" si="39"/>
        <v>-378</v>
      </c>
    </row>
    <row r="1544" spans="1:13">
      <c r="A1544" s="7">
        <v>45373</v>
      </c>
      <c r="B1544" s="8">
        <v>83.540449438204007</v>
      </c>
      <c r="E1544" s="13">
        <v>86.6</v>
      </c>
      <c r="F1544" s="10">
        <f>AVERAGE($E$1463:E1544)</f>
        <v>87.003658536585391</v>
      </c>
      <c r="I1544" s="11">
        <v>4000</v>
      </c>
      <c r="J1544" s="11">
        <v>-2000</v>
      </c>
      <c r="K1544" s="11">
        <v>-3847</v>
      </c>
      <c r="L1544" s="11">
        <f t="shared" si="38"/>
        <v>-5847</v>
      </c>
      <c r="M1544" s="11">
        <f t="shared" si="39"/>
        <v>-1847</v>
      </c>
    </row>
    <row r="1545" spans="1:13">
      <c r="A1545" s="7">
        <v>45374</v>
      </c>
      <c r="B1545" s="8">
        <v>83.49044943820401</v>
      </c>
      <c r="E1545" s="13">
        <v>87.5</v>
      </c>
      <c r="F1545" s="10">
        <f>AVERAGE($E$1463:E1545)</f>
        <v>87.009638554216892</v>
      </c>
      <c r="I1545" s="11">
        <v>2500</v>
      </c>
      <c r="J1545" s="11">
        <v>-2000</v>
      </c>
      <c r="K1545" s="11">
        <v>-899</v>
      </c>
      <c r="L1545" s="11">
        <f t="shared" si="38"/>
        <v>-2899</v>
      </c>
      <c r="M1545" s="11">
        <f t="shared" si="39"/>
        <v>-399</v>
      </c>
    </row>
    <row r="1546" spans="1:13">
      <c r="A1546" s="7">
        <v>45375</v>
      </c>
      <c r="B1546" s="8">
        <v>83.440449438204013</v>
      </c>
      <c r="E1546" s="13">
        <v>88.1</v>
      </c>
      <c r="F1546" s="10">
        <f>AVERAGE($E$1463:E1546)</f>
        <v>87.022619047619074</v>
      </c>
      <c r="I1546" s="11">
        <v>2500</v>
      </c>
      <c r="J1546" s="11">
        <v>-2000</v>
      </c>
      <c r="K1546" s="11">
        <v>-658</v>
      </c>
      <c r="L1546" s="11">
        <f t="shared" si="38"/>
        <v>-2658</v>
      </c>
      <c r="M1546" s="11">
        <f t="shared" si="39"/>
        <v>-158</v>
      </c>
    </row>
    <row r="1547" spans="1:13">
      <c r="A1547" s="7">
        <v>45376</v>
      </c>
      <c r="B1547" s="8">
        <v>83.390449438204016</v>
      </c>
      <c r="E1547" s="13">
        <v>88.9</v>
      </c>
      <c r="F1547" s="10">
        <f>AVERAGE($E$1463:E1547)</f>
        <v>87.044705882352972</v>
      </c>
      <c r="I1547" s="11">
        <v>2500</v>
      </c>
      <c r="J1547" s="11">
        <v>-2000</v>
      </c>
      <c r="K1547" s="11">
        <v>-879</v>
      </c>
      <c r="L1547" s="11">
        <f t="shared" si="38"/>
        <v>-2879</v>
      </c>
      <c r="M1547" s="11">
        <f t="shared" si="39"/>
        <v>-379</v>
      </c>
    </row>
    <row r="1548" spans="1:13">
      <c r="A1548" s="7">
        <v>45377</v>
      </c>
      <c r="B1548" s="8">
        <v>83.340449438204018</v>
      </c>
      <c r="E1548" s="13">
        <v>87.4</v>
      </c>
      <c r="F1548" s="10">
        <f>AVERAGE($E$1463:E1548)</f>
        <v>87.048837209302349</v>
      </c>
      <c r="I1548" s="11">
        <v>5000</v>
      </c>
      <c r="J1548" s="11">
        <v>-2000</v>
      </c>
      <c r="K1548" s="11">
        <v>-4348</v>
      </c>
      <c r="L1548" s="11">
        <f t="shared" si="38"/>
        <v>-6348</v>
      </c>
      <c r="M1548" s="11">
        <f t="shared" si="39"/>
        <v>-1348</v>
      </c>
    </row>
    <row r="1549" spans="1:13">
      <c r="A1549" s="7">
        <v>45378</v>
      </c>
      <c r="B1549" s="8">
        <v>83.290449438204021</v>
      </c>
      <c r="E1549" s="13">
        <v>86.2</v>
      </c>
      <c r="F1549" s="10">
        <f>AVERAGE($E$1463:E1549)</f>
        <v>87.039080459770133</v>
      </c>
      <c r="I1549" s="11">
        <v>2500</v>
      </c>
      <c r="J1549" s="11">
        <v>-2000</v>
      </c>
      <c r="K1549" s="11">
        <v>-634</v>
      </c>
      <c r="L1549" s="11">
        <f t="shared" si="38"/>
        <v>-2634</v>
      </c>
      <c r="M1549" s="11">
        <f t="shared" si="39"/>
        <v>-134</v>
      </c>
    </row>
    <row r="1550" spans="1:13">
      <c r="A1550" s="7">
        <v>45379</v>
      </c>
      <c r="B1550" s="8">
        <v>83.240449438204024</v>
      </c>
      <c r="E1550" s="13">
        <v>87.2</v>
      </c>
      <c r="F1550" s="10">
        <f>AVERAGE($E$1463:E1550)</f>
        <v>87.040909090909111</v>
      </c>
      <c r="I1550" s="11">
        <v>2500</v>
      </c>
      <c r="J1550" s="11">
        <v>-2000</v>
      </c>
      <c r="K1550" s="11">
        <v>-669</v>
      </c>
      <c r="L1550" s="11">
        <f t="shared" si="38"/>
        <v>-2669</v>
      </c>
      <c r="M1550" s="11">
        <f t="shared" si="39"/>
        <v>-169</v>
      </c>
    </row>
    <row r="1551" spans="1:13">
      <c r="A1551" s="7">
        <v>45380</v>
      </c>
      <c r="B1551" s="8">
        <v>83.190449438204027</v>
      </c>
      <c r="E1551" s="13">
        <v>88.2</v>
      </c>
      <c r="F1551" s="10">
        <f>AVERAGE($E$1463:E1551)</f>
        <v>87.053932584269674</v>
      </c>
      <c r="I1551" s="11">
        <v>3000</v>
      </c>
      <c r="J1551" s="11">
        <v>-2000</v>
      </c>
      <c r="K1551" s="11">
        <v>-1082</v>
      </c>
      <c r="L1551" s="11">
        <f t="shared" si="38"/>
        <v>-3082</v>
      </c>
      <c r="M1551" s="11">
        <f t="shared" si="39"/>
        <v>-82</v>
      </c>
    </row>
    <row r="1552" spans="1:13">
      <c r="A1552" s="7">
        <v>45381</v>
      </c>
      <c r="B1552" s="8">
        <v>83.14044943820403</v>
      </c>
      <c r="E1552" s="13">
        <v>87.3</v>
      </c>
      <c r="F1552" s="10">
        <f>AVERAGE($E$1463:E1552)</f>
        <v>87.056666666666686</v>
      </c>
      <c r="I1552" s="11">
        <v>4000</v>
      </c>
      <c r="J1552" s="11">
        <v>-2000</v>
      </c>
      <c r="K1552" s="11">
        <v>-3315</v>
      </c>
      <c r="L1552" s="11">
        <f t="shared" si="38"/>
        <v>-5315</v>
      </c>
      <c r="M1552" s="11">
        <f t="shared" si="39"/>
        <v>-1315</v>
      </c>
    </row>
    <row r="1553" spans="1:13">
      <c r="A1553" s="7">
        <v>45382</v>
      </c>
      <c r="B1553" s="8">
        <v>83.090449438204033</v>
      </c>
      <c r="E1553" s="13">
        <v>87.2</v>
      </c>
      <c r="F1553" s="10">
        <f>AVERAGE($E$1463:E1553)</f>
        <v>87.058241758241763</v>
      </c>
      <c r="I1553" s="11">
        <v>3000</v>
      </c>
      <c r="J1553" s="11">
        <v>-2000</v>
      </c>
      <c r="K1553" s="11">
        <v>-1026</v>
      </c>
      <c r="L1553" s="11">
        <f t="shared" si="38"/>
        <v>-3026</v>
      </c>
      <c r="M1553" s="11">
        <f t="shared" si="39"/>
        <v>-26</v>
      </c>
    </row>
    <row r="1554" spans="1:13">
      <c r="A1554" s="7">
        <v>45383</v>
      </c>
      <c r="B1554" s="8">
        <v>86.040449438204035</v>
      </c>
      <c r="E1554" s="13">
        <v>88.1</v>
      </c>
      <c r="F1554" s="10">
        <f>AVERAGE($E$1463:E1554)</f>
        <v>87.069565217391315</v>
      </c>
      <c r="I1554" s="11">
        <v>3000</v>
      </c>
      <c r="J1554" s="11">
        <v>-2000</v>
      </c>
      <c r="K1554" s="11">
        <v>-1602</v>
      </c>
      <c r="L1554" s="11">
        <f t="shared" si="38"/>
        <v>-3602</v>
      </c>
      <c r="M1554" s="11">
        <f t="shared" si="39"/>
        <v>-602</v>
      </c>
    </row>
    <row r="1555" spans="1:13">
      <c r="A1555" s="7">
        <v>45384</v>
      </c>
      <c r="B1555" s="8">
        <v>85.990449438204038</v>
      </c>
      <c r="E1555" s="13">
        <v>88.5</v>
      </c>
      <c r="F1555" s="10">
        <f>AVERAGE($E$1463:E1555)</f>
        <v>87.084946236559162</v>
      </c>
      <c r="I1555" s="11">
        <v>3000</v>
      </c>
      <c r="J1555" s="11">
        <v>-2000</v>
      </c>
      <c r="K1555" s="11">
        <v>-997</v>
      </c>
      <c r="L1555" s="11">
        <f t="shared" si="38"/>
        <v>-2997</v>
      </c>
      <c r="M1555" s="11">
        <f t="shared" si="39"/>
        <v>3</v>
      </c>
    </row>
    <row r="1556" spans="1:13">
      <c r="A1556" s="7">
        <v>45385</v>
      </c>
      <c r="B1556" s="8">
        <v>85.940449438204041</v>
      </c>
      <c r="E1556" s="13">
        <v>88.2</v>
      </c>
      <c r="F1556" s="10">
        <f>AVERAGE($E$1463:E1556)</f>
        <v>87.096808510638311</v>
      </c>
      <c r="I1556" s="11">
        <v>3000</v>
      </c>
      <c r="J1556" s="11">
        <v>-2000</v>
      </c>
      <c r="K1556" s="11">
        <v>-3785</v>
      </c>
      <c r="L1556" s="11">
        <f t="shared" si="38"/>
        <v>-5785</v>
      </c>
      <c r="M1556" s="11">
        <f t="shared" si="39"/>
        <v>-2785</v>
      </c>
    </row>
    <row r="1557" spans="1:13">
      <c r="A1557" s="7">
        <v>45386</v>
      </c>
      <c r="B1557" s="8">
        <v>85.890449438204044</v>
      </c>
      <c r="E1557" s="13">
        <v>86.3</v>
      </c>
      <c r="F1557" s="10">
        <f>AVERAGE($E$1463:E1557)</f>
        <v>87.088421052631588</v>
      </c>
      <c r="I1557" s="11">
        <v>3000</v>
      </c>
      <c r="J1557" s="11">
        <v>-2000</v>
      </c>
      <c r="K1557" s="11">
        <v>-659</v>
      </c>
      <c r="L1557" s="11">
        <f t="shared" si="38"/>
        <v>-2659</v>
      </c>
      <c r="M1557" s="11">
        <f t="shared" si="39"/>
        <v>341</v>
      </c>
    </row>
    <row r="1558" spans="1:13">
      <c r="A1558" s="7">
        <v>45387</v>
      </c>
      <c r="B1558" s="8">
        <v>85.840449438204047</v>
      </c>
      <c r="E1558" s="13">
        <v>87.9</v>
      </c>
      <c r="F1558" s="10">
        <f>AVERAGE($E$1463:E1558)</f>
        <v>87.096875000000011</v>
      </c>
      <c r="I1558" s="11">
        <v>3000</v>
      </c>
      <c r="J1558" s="11">
        <v>-2000</v>
      </c>
      <c r="K1558" s="11">
        <v>-1388</v>
      </c>
      <c r="L1558" s="11">
        <f t="shared" si="38"/>
        <v>-3388</v>
      </c>
      <c r="M1558" s="11">
        <f t="shared" si="39"/>
        <v>-388</v>
      </c>
    </row>
    <row r="1559" spans="1:13">
      <c r="A1559" s="7">
        <v>45388</v>
      </c>
      <c r="B1559" s="8">
        <v>85.79044943820405</v>
      </c>
      <c r="E1559" s="13">
        <v>88.5</v>
      </c>
      <c r="F1559" s="10">
        <f>AVERAGE($E$1463:E1559)</f>
        <v>87.111340206185574</v>
      </c>
      <c r="I1559" s="11">
        <v>3000</v>
      </c>
      <c r="J1559" s="11">
        <v>-2000</v>
      </c>
      <c r="K1559" s="11">
        <v>-844</v>
      </c>
      <c r="L1559" s="11">
        <f t="shared" si="38"/>
        <v>-2844</v>
      </c>
      <c r="M1559" s="11">
        <f t="shared" si="39"/>
        <v>156</v>
      </c>
    </row>
    <row r="1560" spans="1:13">
      <c r="A1560" s="7">
        <v>45389</v>
      </c>
      <c r="B1560" s="8">
        <v>85.740449438204053</v>
      </c>
      <c r="E1560" s="13">
        <v>87.5</v>
      </c>
      <c r="F1560" s="10">
        <f>AVERAGE($E$1463:E1560)</f>
        <v>87.115306122448985</v>
      </c>
      <c r="I1560" s="11">
        <v>3000</v>
      </c>
      <c r="J1560" s="11">
        <v>-2000</v>
      </c>
      <c r="K1560" s="11">
        <v>-1133</v>
      </c>
      <c r="L1560" s="11">
        <f t="shared" si="38"/>
        <v>-3133</v>
      </c>
      <c r="M1560" s="11">
        <f t="shared" si="39"/>
        <v>-133</v>
      </c>
    </row>
    <row r="1561" spans="1:13">
      <c r="A1561" s="7">
        <v>45390</v>
      </c>
      <c r="B1561" s="8">
        <v>85.690449438204055</v>
      </c>
      <c r="E1561" s="13">
        <v>87.5</v>
      </c>
      <c r="F1561" s="10">
        <f>AVERAGE($E$1463:E1561)</f>
        <v>87.119191919191934</v>
      </c>
      <c r="I1561" s="11">
        <v>3000</v>
      </c>
      <c r="J1561" s="11">
        <v>-2000</v>
      </c>
      <c r="K1561" s="11">
        <v>-3236</v>
      </c>
      <c r="L1561" s="11">
        <f t="shared" si="38"/>
        <v>-5236</v>
      </c>
      <c r="M1561" s="11">
        <f t="shared" si="39"/>
        <v>-2236</v>
      </c>
    </row>
    <row r="1562" spans="1:13">
      <c r="A1562" s="7">
        <v>45391</v>
      </c>
      <c r="B1562" s="8">
        <v>85.640449438204058</v>
      </c>
      <c r="E1562" s="13">
        <v>85.5</v>
      </c>
      <c r="F1562" s="10">
        <f>AVERAGE($E$1463:E1562)</f>
        <v>87.103000000000009</v>
      </c>
      <c r="I1562" s="11">
        <v>3000</v>
      </c>
      <c r="J1562" s="11">
        <v>-2000</v>
      </c>
      <c r="K1562" s="11">
        <v>-1088</v>
      </c>
      <c r="L1562" s="11">
        <f t="shared" si="38"/>
        <v>-3088</v>
      </c>
      <c r="M1562" s="11">
        <f t="shared" si="39"/>
        <v>-88</v>
      </c>
    </row>
    <row r="1563" spans="1:13">
      <c r="A1563" s="7">
        <v>45392</v>
      </c>
      <c r="B1563" s="8">
        <v>85.590449438204061</v>
      </c>
      <c r="E1563" s="13">
        <v>86.6</v>
      </c>
      <c r="F1563" s="10">
        <f>AVERAGE($E$1463:E1563)</f>
        <v>87.098019801980215</v>
      </c>
      <c r="I1563" s="11">
        <v>3000</v>
      </c>
      <c r="J1563" s="11">
        <v>-2000</v>
      </c>
      <c r="K1563" s="11">
        <v>-744</v>
      </c>
      <c r="L1563" s="11">
        <f t="shared" si="38"/>
        <v>-2744</v>
      </c>
      <c r="M1563" s="11">
        <f t="shared" si="39"/>
        <v>256</v>
      </c>
    </row>
    <row r="1564" spans="1:13">
      <c r="A1564" s="7">
        <v>45393</v>
      </c>
      <c r="B1564" s="8">
        <v>85.540449438204064</v>
      </c>
      <c r="E1564" s="13">
        <v>86.5</v>
      </c>
      <c r="F1564" s="10">
        <f>AVERAGE($E$1463:E1564)</f>
        <v>87.092156862745114</v>
      </c>
      <c r="I1564" s="11">
        <v>3000</v>
      </c>
      <c r="J1564" s="11">
        <v>-2000</v>
      </c>
      <c r="K1564" s="11">
        <v>-645</v>
      </c>
      <c r="L1564" s="11">
        <f t="shared" si="38"/>
        <v>-2645</v>
      </c>
      <c r="M1564" s="11">
        <f t="shared" si="39"/>
        <v>355</v>
      </c>
    </row>
    <row r="1565" spans="1:13">
      <c r="A1565" s="7">
        <v>45394</v>
      </c>
      <c r="B1565" s="8">
        <v>85.490449438204067</v>
      </c>
      <c r="E1565" s="13">
        <v>86.5</v>
      </c>
      <c r="F1565" s="10">
        <f>AVERAGE($E$1463:E1565)</f>
        <v>87.086407766990305</v>
      </c>
      <c r="I1565" s="11">
        <v>3000</v>
      </c>
      <c r="J1565" s="11">
        <v>-2000</v>
      </c>
      <c r="K1565" s="11">
        <v>-547</v>
      </c>
      <c r="L1565" s="11">
        <f t="shared" si="38"/>
        <v>-2547</v>
      </c>
      <c r="M1565" s="11">
        <f t="shared" si="39"/>
        <v>453</v>
      </c>
    </row>
    <row r="1566" spans="1:13">
      <c r="A1566" s="7">
        <v>45395</v>
      </c>
      <c r="B1566" s="8">
        <v>85.44044943820407</v>
      </c>
      <c r="E1566" s="13">
        <v>86.4</v>
      </c>
      <c r="F1566" s="10">
        <f>AVERAGE($E$1463:E1566)</f>
        <v>87.079807692307696</v>
      </c>
      <c r="I1566" s="11">
        <v>3000</v>
      </c>
      <c r="J1566" s="11">
        <v>-2000</v>
      </c>
      <c r="K1566" s="11">
        <v>-955</v>
      </c>
      <c r="L1566" s="11">
        <f t="shared" si="38"/>
        <v>-2955</v>
      </c>
      <c r="M1566" s="11">
        <f t="shared" si="39"/>
        <v>45</v>
      </c>
    </row>
    <row r="1567" spans="1:13">
      <c r="A1567" s="7">
        <v>45396</v>
      </c>
      <c r="B1567" s="8">
        <v>85.390449438204072</v>
      </c>
      <c r="E1567" s="13">
        <v>87</v>
      </c>
      <c r="F1567" s="10">
        <f>AVERAGE($E$1463:E1567)</f>
        <v>87.079047619047628</v>
      </c>
      <c r="I1567" s="11">
        <v>3000</v>
      </c>
      <c r="J1567" s="11">
        <v>-2000</v>
      </c>
      <c r="K1567" s="11">
        <v>-633</v>
      </c>
      <c r="L1567" s="11">
        <f t="shared" si="38"/>
        <v>-2633</v>
      </c>
      <c r="M1567" s="11">
        <f t="shared" si="39"/>
        <v>367</v>
      </c>
    </row>
    <row r="1568" spans="1:13">
      <c r="A1568" s="7">
        <v>45397</v>
      </c>
      <c r="B1568" s="8">
        <v>85.340449438204075</v>
      </c>
      <c r="E1568" s="13">
        <v>87.4</v>
      </c>
      <c r="F1568" s="10">
        <f>AVERAGE($E$1463:E1568)</f>
        <v>87.082075471698118</v>
      </c>
      <c r="I1568" s="11">
        <v>3000</v>
      </c>
      <c r="J1568" s="11">
        <v>-2000</v>
      </c>
      <c r="K1568" s="11">
        <v>-1368</v>
      </c>
      <c r="L1568" s="11">
        <f t="shared" si="38"/>
        <v>-3368</v>
      </c>
      <c r="M1568" s="11">
        <f t="shared" si="39"/>
        <v>-368</v>
      </c>
    </row>
    <row r="1569" spans="1:13">
      <c r="A1569" s="7">
        <v>45398</v>
      </c>
      <c r="B1569" s="8">
        <v>85.290449438204078</v>
      </c>
      <c r="E1569" s="13">
        <v>88</v>
      </c>
      <c r="F1569" s="10">
        <f>AVERAGE($E$1463:E1569)</f>
        <v>87.090654205607478</v>
      </c>
      <c r="I1569" s="11">
        <v>3000</v>
      </c>
      <c r="J1569" s="11">
        <v>-2000</v>
      </c>
      <c r="K1569" s="11">
        <v>-1337</v>
      </c>
      <c r="L1569" s="11">
        <f t="shared" si="38"/>
        <v>-3337</v>
      </c>
      <c r="M1569" s="11">
        <f t="shared" si="39"/>
        <v>-337</v>
      </c>
    </row>
    <row r="1570" spans="1:13">
      <c r="A1570" s="7">
        <v>45399</v>
      </c>
      <c r="B1570" s="8">
        <v>85.240449438204081</v>
      </c>
      <c r="E1570" s="13">
        <v>88.4</v>
      </c>
      <c r="F1570" s="10">
        <f>AVERAGE($E$1463:E1570)</f>
        <v>87.102777777777774</v>
      </c>
      <c r="I1570" s="11">
        <v>3000</v>
      </c>
      <c r="J1570" s="11">
        <v>-2000</v>
      </c>
      <c r="K1570" s="11">
        <v>-1036</v>
      </c>
      <c r="L1570" s="11">
        <f t="shared" si="38"/>
        <v>-3036</v>
      </c>
      <c r="M1570" s="11">
        <f t="shared" si="39"/>
        <v>-36</v>
      </c>
    </row>
    <row r="1571" spans="1:13">
      <c r="A1571" s="7">
        <v>45400</v>
      </c>
      <c r="B1571" s="8">
        <v>85.190449438204084</v>
      </c>
      <c r="E1571" s="13">
        <v>88.2</v>
      </c>
      <c r="F1571" s="10">
        <f>AVERAGE($E$1463:E1571)</f>
        <v>87.112844036697254</v>
      </c>
      <c r="I1571" s="11">
        <v>3000</v>
      </c>
      <c r="J1571" s="11">
        <v>-2000</v>
      </c>
      <c r="K1571" s="11">
        <v>-1533</v>
      </c>
      <c r="L1571" s="11">
        <f t="shared" si="38"/>
        <v>-3533</v>
      </c>
      <c r="M1571" s="11">
        <f t="shared" si="39"/>
        <v>-533</v>
      </c>
    </row>
    <row r="1572" spans="1:13">
      <c r="A1572" s="7">
        <v>45401</v>
      </c>
      <c r="B1572" s="8">
        <v>85.140449438204087</v>
      </c>
      <c r="E1572" s="13">
        <v>86.6</v>
      </c>
      <c r="F1572" s="10">
        <f>AVERAGE($E$1463:E1572)</f>
        <v>87.108181818181833</v>
      </c>
      <c r="I1572" s="11">
        <v>3000</v>
      </c>
      <c r="J1572" s="11">
        <v>-2000</v>
      </c>
      <c r="K1572" s="11">
        <v>-740</v>
      </c>
      <c r="L1572" s="11">
        <f t="shared" si="38"/>
        <v>-2740</v>
      </c>
      <c r="M1572" s="11">
        <f t="shared" si="39"/>
        <v>260</v>
      </c>
    </row>
    <row r="1573" spans="1:13">
      <c r="A1573" s="7">
        <v>45402</v>
      </c>
      <c r="B1573" s="8">
        <v>85.090449438204089</v>
      </c>
      <c r="E1573" s="13">
        <v>87.6</v>
      </c>
      <c r="F1573" s="10">
        <f>AVERAGE($E$1463:E1573)</f>
        <v>87.112612612612622</v>
      </c>
      <c r="I1573" s="11">
        <v>3000</v>
      </c>
      <c r="J1573" s="11">
        <v>-2000</v>
      </c>
      <c r="K1573" s="11">
        <v>-1481</v>
      </c>
      <c r="L1573" s="11">
        <f t="shared" si="38"/>
        <v>-3481</v>
      </c>
      <c r="M1573" s="11">
        <f t="shared" si="39"/>
        <v>-481</v>
      </c>
    </row>
    <row r="1574" spans="1:13">
      <c r="A1574" s="7">
        <v>45403</v>
      </c>
      <c r="B1574" s="8">
        <v>85.040449438204092</v>
      </c>
      <c r="E1574" s="13">
        <v>88.9</v>
      </c>
      <c r="F1574" s="10">
        <f>AVERAGE($E$1463:E1574)</f>
        <v>87.128571428571448</v>
      </c>
      <c r="I1574" s="11">
        <v>2681</v>
      </c>
      <c r="J1574" s="11">
        <v>-2000</v>
      </c>
      <c r="K1574" s="11">
        <v>-1427</v>
      </c>
      <c r="L1574" s="11">
        <f t="shared" si="38"/>
        <v>-3427</v>
      </c>
      <c r="M1574" s="11">
        <f t="shared" si="39"/>
        <v>-746</v>
      </c>
    </row>
    <row r="1575" spans="1:13">
      <c r="A1575" s="7">
        <v>45404</v>
      </c>
      <c r="B1575" s="8">
        <v>84.990449438204095</v>
      </c>
      <c r="E1575" s="13">
        <v>89.1</v>
      </c>
      <c r="F1575" s="10">
        <f>AVERAGE($E$1463:E1575)</f>
        <v>87.146017699115063</v>
      </c>
      <c r="I1575" s="11">
        <v>2681</v>
      </c>
      <c r="J1575" s="11">
        <v>-2000</v>
      </c>
      <c r="K1575" s="11">
        <v>-1414</v>
      </c>
      <c r="L1575" s="11">
        <f t="shared" si="38"/>
        <v>-3414</v>
      </c>
      <c r="M1575" s="11">
        <f t="shared" si="39"/>
        <v>-733</v>
      </c>
    </row>
    <row r="1576" spans="1:13">
      <c r="A1576" s="7">
        <v>45405</v>
      </c>
      <c r="B1576" s="8">
        <v>84.940449438204098</v>
      </c>
      <c r="E1576" s="13">
        <v>88.8</v>
      </c>
      <c r="F1576" s="10">
        <f>AVERAGE($E$1463:E1576)</f>
        <v>87.160526315789483</v>
      </c>
      <c r="I1576" s="11">
        <v>2378</v>
      </c>
      <c r="J1576" s="11">
        <v>-2000</v>
      </c>
      <c r="K1576" s="11">
        <v>-693</v>
      </c>
      <c r="L1576" s="11">
        <f t="shared" si="38"/>
        <v>-2693</v>
      </c>
      <c r="M1576" s="11">
        <f t="shared" si="39"/>
        <v>-315</v>
      </c>
    </row>
    <row r="1577" spans="1:13">
      <c r="A1577" s="7">
        <v>45406</v>
      </c>
      <c r="B1577" s="8">
        <v>84.890449438204101</v>
      </c>
      <c r="E1577" s="13">
        <v>86.2</v>
      </c>
      <c r="F1577" s="10">
        <f>AVERAGE($E$1463:E1577)</f>
        <v>87.152173913043498</v>
      </c>
      <c r="I1577" s="11">
        <v>2593</v>
      </c>
      <c r="J1577" s="11">
        <v>-2000</v>
      </c>
      <c r="K1577" s="11">
        <v>-799</v>
      </c>
      <c r="L1577" s="11">
        <f t="shared" si="38"/>
        <v>-2799</v>
      </c>
      <c r="M1577" s="11">
        <f t="shared" si="39"/>
        <v>-206</v>
      </c>
    </row>
    <row r="1578" spans="1:13">
      <c r="A1578" s="7">
        <v>45407</v>
      </c>
      <c r="B1578" s="8">
        <v>84.840449438204104</v>
      </c>
      <c r="E1578" s="13">
        <v>87</v>
      </c>
      <c r="F1578" s="10">
        <f>AVERAGE($E$1463:E1578)</f>
        <v>87.150862068965537</v>
      </c>
      <c r="I1578" s="11">
        <v>2944</v>
      </c>
      <c r="J1578" s="11">
        <v>-2000</v>
      </c>
      <c r="K1578" s="11">
        <v>-1400</v>
      </c>
      <c r="L1578" s="11">
        <f t="shared" si="38"/>
        <v>-3400</v>
      </c>
      <c r="M1578" s="11">
        <f t="shared" si="39"/>
        <v>-456</v>
      </c>
    </row>
    <row r="1579" spans="1:13">
      <c r="A1579" s="7">
        <v>45408</v>
      </c>
      <c r="B1579" s="8">
        <v>84.790449438204107</v>
      </c>
      <c r="E1579" s="13">
        <v>88.3</v>
      </c>
      <c r="F1579" s="10">
        <f>AVERAGE($E$1463:E1579)</f>
        <v>87.160683760683767</v>
      </c>
      <c r="I1579" s="11">
        <v>2050</v>
      </c>
      <c r="J1579" s="11">
        <v>-2000</v>
      </c>
      <c r="K1579" s="11">
        <v>-1608</v>
      </c>
      <c r="L1579" s="11">
        <f t="shared" si="38"/>
        <v>-3608</v>
      </c>
      <c r="M1579" s="11">
        <f t="shared" si="39"/>
        <v>-1558</v>
      </c>
    </row>
    <row r="1580" spans="1:13">
      <c r="A1580" s="7">
        <v>45409</v>
      </c>
      <c r="B1580" s="8">
        <v>84.740449438204109</v>
      </c>
      <c r="E1580" s="13">
        <v>86.6</v>
      </c>
      <c r="F1580" s="10">
        <f>AVERAGE($E$1463:E1580)</f>
        <v>87.155932203389838</v>
      </c>
      <c r="I1580" s="11">
        <v>3693</v>
      </c>
      <c r="J1580" s="11">
        <v>-2000</v>
      </c>
      <c r="K1580" s="11">
        <v>-1927</v>
      </c>
      <c r="L1580" s="11">
        <f t="shared" si="38"/>
        <v>-3927</v>
      </c>
      <c r="M1580" s="11">
        <f t="shared" si="39"/>
        <v>-234</v>
      </c>
    </row>
    <row r="1581" spans="1:13">
      <c r="A1581" s="7">
        <v>45410</v>
      </c>
      <c r="B1581" s="8">
        <v>84.690449438204112</v>
      </c>
      <c r="E1581" s="13">
        <v>86.8</v>
      </c>
      <c r="F1581" s="10">
        <f>AVERAGE($E$1463:E1581)</f>
        <v>87.152941176470591</v>
      </c>
      <c r="I1581" s="11">
        <v>2738</v>
      </c>
      <c r="J1581" s="11">
        <v>-2000</v>
      </c>
      <c r="K1581" s="11">
        <v>-623</v>
      </c>
      <c r="L1581" s="11">
        <f t="shared" si="38"/>
        <v>-2623</v>
      </c>
      <c r="M1581" s="11">
        <f t="shared" si="39"/>
        <v>115</v>
      </c>
    </row>
    <row r="1582" spans="1:13">
      <c r="A1582" s="7">
        <v>45411</v>
      </c>
      <c r="B1582" s="8">
        <v>84.640449438204115</v>
      </c>
      <c r="E1582" s="13">
        <v>87.1</v>
      </c>
      <c r="F1582" s="10">
        <f>AVERAGE($E$1463:E1582)</f>
        <v>87.152500000000003</v>
      </c>
      <c r="I1582" s="11">
        <v>3951</v>
      </c>
      <c r="J1582" s="11">
        <v>-2000</v>
      </c>
      <c r="K1582" s="11">
        <v>-3476</v>
      </c>
      <c r="L1582" s="11">
        <f t="shared" si="38"/>
        <v>-5476</v>
      </c>
      <c r="M1582" s="11">
        <f t="shared" si="39"/>
        <v>-1525</v>
      </c>
    </row>
    <row r="1583" spans="1:13">
      <c r="A1583" s="7">
        <v>45412</v>
      </c>
      <c r="B1583" s="8">
        <v>84.590449438204118</v>
      </c>
      <c r="E1583" s="13">
        <v>87.3</v>
      </c>
      <c r="F1583" s="10">
        <f>AVERAGE($E$1463:E1583)</f>
        <v>87.15371900826446</v>
      </c>
      <c r="I1583" s="11">
        <v>2727</v>
      </c>
      <c r="J1583" s="11">
        <v>-2000</v>
      </c>
      <c r="K1583" s="11">
        <v>-1494</v>
      </c>
      <c r="L1583" s="11">
        <f t="shared" si="38"/>
        <v>-3494</v>
      </c>
      <c r="M1583" s="11">
        <f t="shared" si="39"/>
        <v>-767</v>
      </c>
    </row>
    <row r="1584" spans="1:13">
      <c r="A1584" s="7">
        <v>45413</v>
      </c>
      <c r="B1584" s="8">
        <v>86.540449438204121</v>
      </c>
      <c r="E1584" s="13">
        <v>87.1</v>
      </c>
      <c r="F1584" s="10">
        <f>AVERAGE($E$1463:E1584)</f>
        <v>87.153278688524594</v>
      </c>
      <c r="I1584" s="11">
        <v>2924</v>
      </c>
      <c r="J1584" s="11">
        <v>-2000</v>
      </c>
      <c r="K1584" s="11">
        <v>-930</v>
      </c>
      <c r="L1584" s="11">
        <f t="shared" si="38"/>
        <v>-2930</v>
      </c>
      <c r="M1584" s="11">
        <f t="shared" si="39"/>
        <v>-6</v>
      </c>
    </row>
    <row r="1585" spans="1:13">
      <c r="A1585" s="7">
        <v>45414</v>
      </c>
      <c r="B1585" s="8">
        <v>86.490449438204124</v>
      </c>
      <c r="E1585" s="13">
        <v>86.9</v>
      </c>
      <c r="F1585" s="10">
        <f>AVERAGE($E$1463:E1585)</f>
        <v>87.151219512195127</v>
      </c>
      <c r="I1585" s="11">
        <v>4453</v>
      </c>
      <c r="J1585" s="11">
        <v>-2000</v>
      </c>
      <c r="K1585" s="11">
        <v>-918</v>
      </c>
      <c r="L1585" s="11">
        <f t="shared" si="38"/>
        <v>-2918</v>
      </c>
      <c r="M1585" s="11">
        <f t="shared" si="39"/>
        <v>1535</v>
      </c>
    </row>
    <row r="1586" spans="1:13">
      <c r="A1586" s="7">
        <v>45415</v>
      </c>
      <c r="B1586" s="8">
        <v>86.440449438204126</v>
      </c>
      <c r="E1586" s="13">
        <v>89.3</v>
      </c>
      <c r="F1586" s="10">
        <f>AVERAGE($E$1463:E1586)</f>
        <v>87.168548387096777</v>
      </c>
      <c r="I1586" s="11">
        <v>3317</v>
      </c>
      <c r="J1586" s="11">
        <v>-2000</v>
      </c>
      <c r="K1586" s="11">
        <v>-839</v>
      </c>
      <c r="L1586" s="11">
        <f t="shared" si="38"/>
        <v>-2839</v>
      </c>
      <c r="M1586" s="11">
        <f t="shared" si="39"/>
        <v>478</v>
      </c>
    </row>
    <row r="1587" spans="1:13">
      <c r="A1587" s="7">
        <v>45416</v>
      </c>
      <c r="B1587" s="8">
        <v>86.390449438204129</v>
      </c>
      <c r="E1587" s="13">
        <v>88.9</v>
      </c>
      <c r="F1587" s="10">
        <f>AVERAGE($E$1463:E1587)</f>
        <v>87.182400000000001</v>
      </c>
      <c r="I1587" s="11">
        <v>3673</v>
      </c>
      <c r="J1587" s="11">
        <v>-2000</v>
      </c>
      <c r="K1587" s="11">
        <v>-899</v>
      </c>
      <c r="L1587" s="11">
        <f t="shared" si="38"/>
        <v>-2899</v>
      </c>
      <c r="M1587" s="11">
        <f t="shared" si="39"/>
        <v>774</v>
      </c>
    </row>
    <row r="1588" spans="1:13">
      <c r="A1588" s="7">
        <v>45417</v>
      </c>
      <c r="B1588" s="8">
        <v>86.340449438204132</v>
      </c>
      <c r="E1588" s="13">
        <v>90.3</v>
      </c>
      <c r="F1588" s="10">
        <f>AVERAGE($E$1463:E1588)</f>
        <v>87.207142857142841</v>
      </c>
      <c r="I1588" s="11">
        <v>2557</v>
      </c>
      <c r="J1588" s="11">
        <v>-2000</v>
      </c>
      <c r="K1588" s="11">
        <v>-849</v>
      </c>
      <c r="L1588" s="11">
        <f t="shared" si="38"/>
        <v>-2849</v>
      </c>
      <c r="M1588" s="11">
        <f t="shared" si="39"/>
        <v>-292</v>
      </c>
    </row>
    <row r="1589" spans="1:13">
      <c r="A1589" s="7">
        <v>45418</v>
      </c>
      <c r="B1589" s="8">
        <v>86.290449438204135</v>
      </c>
      <c r="E1589" s="13">
        <v>89.9</v>
      </c>
      <c r="F1589" s="10">
        <f>AVERAGE($E$1463:E1589)</f>
        <v>87.228346456692904</v>
      </c>
      <c r="I1589" s="11">
        <v>2093</v>
      </c>
      <c r="J1589" s="11">
        <v>-2000</v>
      </c>
      <c r="K1589" s="11">
        <v>-1539</v>
      </c>
      <c r="L1589" s="11">
        <f t="shared" si="38"/>
        <v>-3539</v>
      </c>
      <c r="M1589" s="11">
        <f t="shared" si="39"/>
        <v>-1446</v>
      </c>
    </row>
    <row r="1590" spans="1:13">
      <c r="A1590" s="7">
        <v>45419</v>
      </c>
      <c r="B1590" s="8">
        <v>86.240449438204138</v>
      </c>
      <c r="E1590" s="13">
        <v>88</v>
      </c>
      <c r="F1590" s="10">
        <f>AVERAGE($E$1463:E1590)</f>
        <v>87.234374999999986</v>
      </c>
      <c r="I1590" s="11">
        <v>3491</v>
      </c>
      <c r="J1590" s="11">
        <v>-2000</v>
      </c>
      <c r="K1590" s="11">
        <v>-1847</v>
      </c>
      <c r="L1590" s="11">
        <f t="shared" si="38"/>
        <v>-3847</v>
      </c>
      <c r="M1590" s="11">
        <f t="shared" si="39"/>
        <v>-356</v>
      </c>
    </row>
    <row r="1591" spans="1:13">
      <c r="A1591" s="7">
        <v>45420</v>
      </c>
      <c r="B1591" s="8">
        <v>86.190449438204141</v>
      </c>
      <c r="E1591" s="13">
        <v>86.7</v>
      </c>
      <c r="F1591" s="10">
        <f>AVERAGE($E$1463:E1591)</f>
        <v>87.230232558139519</v>
      </c>
      <c r="I1591" s="11">
        <v>2615</v>
      </c>
      <c r="J1591" s="11">
        <v>-2000</v>
      </c>
      <c r="K1591" s="11">
        <v>-1541</v>
      </c>
      <c r="L1591" s="11">
        <f t="shared" si="38"/>
        <v>-3541</v>
      </c>
      <c r="M1591" s="11">
        <f t="shared" si="39"/>
        <v>-926</v>
      </c>
    </row>
    <row r="1592" spans="1:13">
      <c r="A1592" s="7">
        <v>45421</v>
      </c>
      <c r="B1592" s="8">
        <v>86.140449438204143</v>
      </c>
      <c r="E1592" s="13">
        <v>86.1</v>
      </c>
      <c r="F1592" s="10">
        <f>AVERAGE($E$1463:E1592)</f>
        <v>87.221538461538458</v>
      </c>
      <c r="I1592" s="11">
        <v>2527</v>
      </c>
      <c r="J1592" s="11">
        <v>-2000</v>
      </c>
      <c r="K1592" s="11">
        <v>-1003</v>
      </c>
      <c r="L1592" s="11">
        <f t="shared" si="38"/>
        <v>-3003</v>
      </c>
      <c r="M1592" s="11">
        <f t="shared" si="39"/>
        <v>-476</v>
      </c>
    </row>
    <row r="1593" spans="1:13">
      <c r="A1593" s="7">
        <v>45422</v>
      </c>
      <c r="B1593" s="8">
        <v>86.090449438204146</v>
      </c>
      <c r="E1593" s="13">
        <v>86.6</v>
      </c>
      <c r="F1593" s="10">
        <f>AVERAGE($E$1463:E1593)</f>
        <v>87.216793893129761</v>
      </c>
      <c r="I1593" s="11">
        <v>2688</v>
      </c>
      <c r="J1593" s="11">
        <v>-2000</v>
      </c>
      <c r="K1593" s="11">
        <v>-1612</v>
      </c>
      <c r="L1593" s="11">
        <f t="shared" ref="L1593:L1656" si="40">SUM(J1593:K1593)</f>
        <v>-3612</v>
      </c>
      <c r="M1593" s="11">
        <f t="shared" ref="M1593:M1656" si="41">I1593+J1593+K1593</f>
        <v>-924</v>
      </c>
    </row>
    <row r="1594" spans="1:13">
      <c r="A1594" s="7">
        <v>45423</v>
      </c>
      <c r="B1594" s="8">
        <v>86.040449438204149</v>
      </c>
      <c r="E1594" s="13">
        <v>87.4</v>
      </c>
      <c r="F1594" s="10">
        <f>AVERAGE($E$1463:E1594)</f>
        <v>87.218181818181819</v>
      </c>
      <c r="I1594" s="11">
        <v>2059</v>
      </c>
      <c r="J1594" s="11">
        <v>-2000</v>
      </c>
      <c r="K1594" s="11">
        <v>-1290</v>
      </c>
      <c r="L1594" s="11">
        <f t="shared" si="40"/>
        <v>-3290</v>
      </c>
      <c r="M1594" s="11">
        <f t="shared" si="41"/>
        <v>-1231</v>
      </c>
    </row>
    <row r="1595" spans="1:13">
      <c r="A1595" s="7">
        <v>45424</v>
      </c>
      <c r="B1595" s="8">
        <v>85.990449438204152</v>
      </c>
      <c r="E1595" s="13">
        <f>AVERAGE(E1594,E1596)</f>
        <v>87.85</v>
      </c>
      <c r="F1595" s="10">
        <f>AVERAGE($E$1463:E1595)</f>
        <v>87.222932330827064</v>
      </c>
      <c r="I1595" s="11">
        <f>-(J1595+K1595)*110%</f>
        <v>2929.3</v>
      </c>
      <c r="J1595" s="11">
        <v>-2000</v>
      </c>
      <c r="K1595" s="11">
        <v>-663</v>
      </c>
      <c r="L1595" s="11">
        <f t="shared" si="40"/>
        <v>-2663</v>
      </c>
      <c r="M1595" s="11">
        <f t="shared" si="41"/>
        <v>266.30000000000018</v>
      </c>
    </row>
    <row r="1596" spans="1:13">
      <c r="A1596" s="7">
        <v>45425</v>
      </c>
      <c r="B1596" s="8">
        <v>85.940449438204155</v>
      </c>
      <c r="E1596" s="13">
        <v>88.3</v>
      </c>
      <c r="F1596" s="10">
        <f>AVERAGE($E$1463:E1596)</f>
        <v>87.230970149253722</v>
      </c>
      <c r="I1596" s="11">
        <f>-(J1596+K1596)*110%</f>
        <v>5868.5000000000009</v>
      </c>
      <c r="J1596" s="11">
        <v>-2000</v>
      </c>
      <c r="K1596" s="11">
        <v>-3335</v>
      </c>
      <c r="L1596" s="11">
        <f t="shared" si="40"/>
        <v>-5335</v>
      </c>
      <c r="M1596" s="11">
        <f t="shared" si="41"/>
        <v>533.50000000000091</v>
      </c>
    </row>
    <row r="1597" spans="1:13">
      <c r="A1597" s="7">
        <v>45426</v>
      </c>
      <c r="B1597" s="8">
        <v>85.890449438204158</v>
      </c>
      <c r="E1597" s="13">
        <v>87</v>
      </c>
      <c r="F1597" s="10">
        <f>AVERAGE($E$1463:E1597)</f>
        <v>87.229259259259251</v>
      </c>
      <c r="I1597" s="11">
        <f>-(J1597+K1597)*110%</f>
        <v>3896.2000000000003</v>
      </c>
      <c r="J1597" s="11">
        <v>-2000</v>
      </c>
      <c r="K1597" s="11">
        <v>-1542</v>
      </c>
      <c r="L1597" s="11">
        <f t="shared" si="40"/>
        <v>-3542</v>
      </c>
      <c r="M1597" s="11">
        <f t="shared" si="41"/>
        <v>354.20000000000027</v>
      </c>
    </row>
    <row r="1598" spans="1:13">
      <c r="A1598" s="7">
        <v>45427</v>
      </c>
      <c r="B1598" s="8">
        <v>85.840449438204161</v>
      </c>
      <c r="E1598" s="13">
        <f>AVERAGE(E1597,E1599)</f>
        <v>86.7</v>
      </c>
      <c r="F1598" s="10">
        <f>AVERAGE($E$1463:E1598)</f>
        <v>87.225367647058818</v>
      </c>
      <c r="I1598" s="11">
        <f>-(J1598+K1598)*110%</f>
        <v>6839.8</v>
      </c>
      <c r="J1598" s="11">
        <v>-2000</v>
      </c>
      <c r="K1598" s="11">
        <v>-4218</v>
      </c>
      <c r="L1598" s="11">
        <f t="shared" si="40"/>
        <v>-6218</v>
      </c>
      <c r="M1598" s="11">
        <f t="shared" si="41"/>
        <v>621.80000000000018</v>
      </c>
    </row>
    <row r="1599" spans="1:13">
      <c r="A1599" s="7">
        <v>45428</v>
      </c>
      <c r="B1599" s="8">
        <v>85.790449438204163</v>
      </c>
      <c r="E1599" s="13">
        <v>86.4</v>
      </c>
      <c r="F1599" s="10">
        <f>AVERAGE($E$1463:E1599)</f>
        <v>87.219343065693423</v>
      </c>
      <c r="I1599" s="11">
        <f>-(J1599+K1599)*110%</f>
        <v>3168.0000000000005</v>
      </c>
      <c r="J1599" s="11">
        <v>-2000</v>
      </c>
      <c r="K1599" s="11">
        <v>-880</v>
      </c>
      <c r="L1599" s="11">
        <f t="shared" si="40"/>
        <v>-2880</v>
      </c>
      <c r="M1599" s="11">
        <f t="shared" si="41"/>
        <v>288.00000000000045</v>
      </c>
    </row>
    <row r="1600" spans="1:13">
      <c r="A1600" s="7">
        <v>45429</v>
      </c>
      <c r="B1600" s="8">
        <v>85.740449438204166</v>
      </c>
      <c r="E1600" s="13">
        <v>86.8</v>
      </c>
      <c r="F1600" s="10">
        <f>AVERAGE($E$1463:E1600)</f>
        <v>87.216304347826082</v>
      </c>
      <c r="I1600" s="11">
        <v>2101</v>
      </c>
      <c r="J1600" s="11">
        <v>-2000</v>
      </c>
      <c r="K1600" s="11">
        <v>-1435</v>
      </c>
      <c r="L1600" s="11">
        <f t="shared" si="40"/>
        <v>-3435</v>
      </c>
      <c r="M1600" s="11">
        <f t="shared" si="41"/>
        <v>-1334</v>
      </c>
    </row>
    <row r="1601" spans="1:13">
      <c r="A1601" s="7">
        <v>45430</v>
      </c>
      <c r="B1601" s="8">
        <v>85.690449438204169</v>
      </c>
      <c r="E1601" s="13">
        <f>AVERAGE(E1600,E1602)</f>
        <v>87.25</v>
      </c>
      <c r="F1601" s="10">
        <f>AVERAGE($E$1463:E1601)</f>
        <v>87.216546762589914</v>
      </c>
      <c r="I1601" s="11">
        <f>-(J1601+K1601)*110%</f>
        <v>3011.8</v>
      </c>
      <c r="J1601" s="11">
        <v>-2000</v>
      </c>
      <c r="K1601" s="11">
        <v>-738</v>
      </c>
      <c r="L1601" s="11">
        <f t="shared" si="40"/>
        <v>-2738</v>
      </c>
      <c r="M1601" s="11">
        <f t="shared" si="41"/>
        <v>273.80000000000018</v>
      </c>
    </row>
    <row r="1602" spans="1:13">
      <c r="A1602" s="7">
        <v>45431</v>
      </c>
      <c r="B1602" s="8">
        <v>85.640449438204172</v>
      </c>
      <c r="E1602" s="13">
        <v>87.7</v>
      </c>
      <c r="F1602" s="10">
        <f>AVERAGE($E$1463:E1602)</f>
        <v>87.22</v>
      </c>
      <c r="I1602" s="11">
        <f>-(J1602+K1602)*110%</f>
        <v>7278.7000000000007</v>
      </c>
      <c r="J1602" s="11">
        <v>-2000</v>
      </c>
      <c r="K1602" s="11">
        <v>-4617</v>
      </c>
      <c r="L1602" s="11">
        <f t="shared" si="40"/>
        <v>-6617</v>
      </c>
      <c r="M1602" s="11">
        <f t="shared" si="41"/>
        <v>661.70000000000073</v>
      </c>
    </row>
    <row r="1603" spans="1:13">
      <c r="A1603" s="7">
        <v>45432</v>
      </c>
      <c r="B1603" s="8">
        <v>85.590449438204175</v>
      </c>
      <c r="E1603" s="13">
        <f>AVERAGE(E1602,E1604)</f>
        <v>87.9</v>
      </c>
      <c r="F1603" s="10">
        <f>AVERAGE($E$1463:E1603)</f>
        <v>87.224822695035456</v>
      </c>
      <c r="I1603" s="11">
        <v>1815</v>
      </c>
      <c r="J1603" s="11">
        <v>-2000</v>
      </c>
      <c r="K1603" s="11">
        <v>-1094</v>
      </c>
      <c r="L1603" s="11">
        <f t="shared" si="40"/>
        <v>-3094</v>
      </c>
      <c r="M1603" s="11">
        <f t="shared" si="41"/>
        <v>-1279</v>
      </c>
    </row>
    <row r="1604" spans="1:13">
      <c r="A1604" s="7">
        <v>45433</v>
      </c>
      <c r="B1604" s="8">
        <v>85.540449438204178</v>
      </c>
      <c r="E1604" s="13">
        <v>88.1</v>
      </c>
      <c r="F1604" s="10">
        <f>AVERAGE($E$1463:E1604)</f>
        <v>87.230985915492951</v>
      </c>
      <c r="I1604" s="11">
        <v>2379</v>
      </c>
      <c r="J1604" s="11">
        <v>-2000</v>
      </c>
      <c r="K1604" s="11">
        <v>-1124</v>
      </c>
      <c r="L1604" s="11">
        <f t="shared" si="40"/>
        <v>-3124</v>
      </c>
      <c r="M1604" s="11">
        <f t="shared" si="41"/>
        <v>-745</v>
      </c>
    </row>
    <row r="1605" spans="1:13">
      <c r="A1605" s="7">
        <v>45434</v>
      </c>
      <c r="B1605" s="8">
        <v>85.49044943820418</v>
      </c>
      <c r="E1605" s="13">
        <v>87.8</v>
      </c>
      <c r="F1605" s="10">
        <f>AVERAGE($E$1463:E1605)</f>
        <v>87.234965034965029</v>
      </c>
      <c r="I1605" s="11">
        <v>2421</v>
      </c>
      <c r="J1605" s="11">
        <v>-2000</v>
      </c>
      <c r="K1605" s="11">
        <v>-1520</v>
      </c>
      <c r="L1605" s="11">
        <f t="shared" si="40"/>
        <v>-3520</v>
      </c>
      <c r="M1605" s="11">
        <f t="shared" si="41"/>
        <v>-1099</v>
      </c>
    </row>
    <row r="1606" spans="1:13">
      <c r="A1606" s="7">
        <v>45435</v>
      </c>
      <c r="B1606" s="8">
        <v>85.440449438204183</v>
      </c>
      <c r="E1606" s="13">
        <v>87</v>
      </c>
      <c r="F1606" s="10">
        <f>AVERAGE($E$1463:E1606)</f>
        <v>87.23333333333332</v>
      </c>
      <c r="I1606" s="11">
        <v>2461</v>
      </c>
      <c r="J1606" s="11">
        <v>-2000</v>
      </c>
      <c r="K1606" s="11">
        <v>-1608</v>
      </c>
      <c r="L1606" s="11">
        <f t="shared" si="40"/>
        <v>-3608</v>
      </c>
      <c r="M1606" s="11">
        <f t="shared" si="41"/>
        <v>-1147</v>
      </c>
    </row>
    <row r="1607" spans="1:13">
      <c r="A1607" s="7">
        <v>45436</v>
      </c>
      <c r="B1607" s="8">
        <v>85.390449438204186</v>
      </c>
      <c r="E1607" s="13">
        <v>87.1</v>
      </c>
      <c r="F1607" s="10">
        <f>AVERAGE($E$1463:E1607)</f>
        <v>87.232413793103447</v>
      </c>
      <c r="I1607" s="11">
        <f t="shared" ref="I1607:I1658" si="42">-(J1607+K1607)*110%</f>
        <v>3996.3</v>
      </c>
      <c r="J1607" s="11">
        <v>-2000</v>
      </c>
      <c r="K1607" s="11">
        <v>-1633</v>
      </c>
      <c r="L1607" s="11">
        <f t="shared" si="40"/>
        <v>-3633</v>
      </c>
      <c r="M1607" s="11">
        <f t="shared" si="41"/>
        <v>363.30000000000018</v>
      </c>
    </row>
    <row r="1608" spans="1:13">
      <c r="A1608" s="7">
        <v>45437</v>
      </c>
      <c r="B1608" s="8">
        <v>85.340449438204189</v>
      </c>
      <c r="E1608" s="13">
        <f>AVERAGE(E1607,E1609)</f>
        <v>87.5</v>
      </c>
      <c r="F1608" s="10">
        <f>AVERAGE($E$1463:E1608)</f>
        <v>87.234246575342453</v>
      </c>
      <c r="I1608" s="11">
        <f t="shared" si="42"/>
        <v>3735.6000000000004</v>
      </c>
      <c r="J1608" s="11">
        <v>-2000</v>
      </c>
      <c r="K1608" s="11">
        <v>-1396</v>
      </c>
      <c r="L1608" s="11">
        <f t="shared" si="40"/>
        <v>-3396</v>
      </c>
      <c r="M1608" s="11">
        <f t="shared" si="41"/>
        <v>339.60000000000036</v>
      </c>
    </row>
    <row r="1609" spans="1:13">
      <c r="A1609" s="7">
        <v>45438</v>
      </c>
      <c r="B1609" s="8">
        <v>85.290449438204192</v>
      </c>
      <c r="E1609" s="13">
        <v>87.9</v>
      </c>
      <c r="F1609" s="10">
        <f>AVERAGE($E$1463:E1609)</f>
        <v>87.238775510204079</v>
      </c>
      <c r="I1609" s="11">
        <f t="shared" si="42"/>
        <v>2893.0000000000005</v>
      </c>
      <c r="J1609" s="11">
        <v>-2000</v>
      </c>
      <c r="K1609" s="11">
        <v>-630</v>
      </c>
      <c r="L1609" s="11">
        <f t="shared" si="40"/>
        <v>-2630</v>
      </c>
      <c r="M1609" s="11">
        <f t="shared" si="41"/>
        <v>263.00000000000045</v>
      </c>
    </row>
    <row r="1610" spans="1:13">
      <c r="A1610" s="7">
        <v>45439</v>
      </c>
      <c r="B1610" s="8">
        <v>85.240449438204195</v>
      </c>
      <c r="E1610" s="13">
        <v>88</v>
      </c>
      <c r="F1610" s="10">
        <f>AVERAGE($E$1463:E1610)</f>
        <v>87.243918918918908</v>
      </c>
      <c r="I1610" s="11">
        <f t="shared" si="42"/>
        <v>6176.5000000000009</v>
      </c>
      <c r="J1610" s="11">
        <v>-2000</v>
      </c>
      <c r="K1610" s="11">
        <v>-3615</v>
      </c>
      <c r="L1610" s="11">
        <f t="shared" si="40"/>
        <v>-5615</v>
      </c>
      <c r="M1610" s="11">
        <f t="shared" si="41"/>
        <v>561.50000000000091</v>
      </c>
    </row>
    <row r="1611" spans="1:13">
      <c r="A1611" s="7">
        <v>45440</v>
      </c>
      <c r="B1611" s="8">
        <v>85.190449438204197</v>
      </c>
      <c r="E1611" s="13">
        <v>86</v>
      </c>
      <c r="F1611" s="10">
        <f>AVERAGE($E$1463:E1611)</f>
        <v>87.235570469798645</v>
      </c>
      <c r="I1611" s="11">
        <f t="shared" si="42"/>
        <v>3214.2000000000003</v>
      </c>
      <c r="J1611" s="11">
        <v>-2000</v>
      </c>
      <c r="K1611" s="11">
        <v>-922</v>
      </c>
      <c r="L1611" s="11">
        <f t="shared" si="40"/>
        <v>-2922</v>
      </c>
      <c r="M1611" s="11">
        <f t="shared" si="41"/>
        <v>292.20000000000027</v>
      </c>
    </row>
    <row r="1612" spans="1:13">
      <c r="A1612" s="7">
        <v>45441</v>
      </c>
      <c r="B1612" s="8">
        <v>85.1404494382042</v>
      </c>
      <c r="E1612" s="13">
        <v>88.8</v>
      </c>
      <c r="F1612" s="10">
        <f>AVERAGE($E$1463:E1612)</f>
        <v>87.245999999999981</v>
      </c>
      <c r="I1612" s="11">
        <f t="shared" si="42"/>
        <v>3947.9000000000005</v>
      </c>
      <c r="J1612" s="11">
        <v>-2000</v>
      </c>
      <c r="K1612" s="11">
        <v>-1589</v>
      </c>
      <c r="L1612" s="11">
        <f t="shared" si="40"/>
        <v>-3589</v>
      </c>
      <c r="M1612" s="11">
        <f t="shared" si="41"/>
        <v>358.90000000000055</v>
      </c>
    </row>
    <row r="1613" spans="1:13">
      <c r="A1613" s="7">
        <v>45442</v>
      </c>
      <c r="B1613" s="8">
        <v>85.090449438204203</v>
      </c>
      <c r="E1613" s="13">
        <f>AVERAGE(E1612,E1618)</f>
        <v>88.4</v>
      </c>
      <c r="F1613" s="10">
        <f>AVERAGE($E$1463:E1613)</f>
        <v>87.253642384105945</v>
      </c>
      <c r="I1613" s="11">
        <f t="shared" si="42"/>
        <v>2816</v>
      </c>
      <c r="J1613" s="11">
        <v>-2000</v>
      </c>
      <c r="K1613" s="11">
        <v>-560</v>
      </c>
      <c r="L1613" s="11">
        <f t="shared" si="40"/>
        <v>-2560</v>
      </c>
      <c r="M1613" s="11">
        <f t="shared" si="41"/>
        <v>256</v>
      </c>
    </row>
    <row r="1614" spans="1:13">
      <c r="A1614" s="7">
        <v>45443</v>
      </c>
      <c r="B1614" s="8">
        <v>85.040449438204206</v>
      </c>
      <c r="E1614" s="13">
        <f>AVERAGE(E1613,E1618)</f>
        <v>88.2</v>
      </c>
      <c r="F1614" s="10">
        <f>AVERAGE($E$1463:E1614)</f>
        <v>87.259868421052616</v>
      </c>
      <c r="I1614" s="11">
        <f t="shared" si="42"/>
        <v>4228.4000000000005</v>
      </c>
      <c r="J1614" s="11">
        <v>-2000</v>
      </c>
      <c r="K1614" s="11">
        <v>-1844</v>
      </c>
      <c r="L1614" s="11">
        <f t="shared" si="40"/>
        <v>-3844</v>
      </c>
      <c r="M1614" s="11">
        <f t="shared" si="41"/>
        <v>384.40000000000055</v>
      </c>
    </row>
    <row r="1615" spans="1:13">
      <c r="A1615" s="7">
        <v>45444</v>
      </c>
      <c r="B1615" s="8">
        <v>84.998782771537535</v>
      </c>
      <c r="E1615" s="13">
        <f>AVERAGE(E1614,E1618)</f>
        <v>88.1</v>
      </c>
      <c r="F1615" s="10">
        <f>AVERAGE($E$1463:E1615)</f>
        <v>87.265359477124179</v>
      </c>
      <c r="I1615" s="11">
        <f t="shared" si="42"/>
        <v>3209.8</v>
      </c>
      <c r="J1615" s="11">
        <v>-2000</v>
      </c>
      <c r="K1615" s="11">
        <v>-918</v>
      </c>
      <c r="L1615" s="11">
        <f t="shared" si="40"/>
        <v>-2918</v>
      </c>
      <c r="M1615" s="11">
        <f t="shared" si="41"/>
        <v>291.80000000000018</v>
      </c>
    </row>
    <row r="1616" spans="1:13">
      <c r="A1616" s="7">
        <v>45445</v>
      </c>
      <c r="B1616" s="8">
        <v>84.957116104870863</v>
      </c>
      <c r="E1616" s="13">
        <f>AVERAGE(E1615,E1618)</f>
        <v>88.05</v>
      </c>
      <c r="F1616" s="10">
        <f>AVERAGE($E$1463:E1616)</f>
        <v>87.270454545454527</v>
      </c>
      <c r="I1616" s="11">
        <f t="shared" si="42"/>
        <v>4089.8</v>
      </c>
      <c r="J1616" s="11">
        <v>-2000</v>
      </c>
      <c r="K1616" s="11">
        <v>-1718</v>
      </c>
      <c r="L1616" s="11">
        <f t="shared" si="40"/>
        <v>-3718</v>
      </c>
      <c r="M1616" s="11">
        <f t="shared" si="41"/>
        <v>371.80000000000018</v>
      </c>
    </row>
    <row r="1617" spans="1:13">
      <c r="A1617" s="7">
        <v>45446</v>
      </c>
      <c r="B1617" s="8">
        <v>84.915449438204192</v>
      </c>
      <c r="E1617" s="13">
        <f>AVERAGE(E1616,E1618)</f>
        <v>88.025000000000006</v>
      </c>
      <c r="F1617" s="10">
        <f>AVERAGE($E$1463:E1617)</f>
        <v>87.275322580645138</v>
      </c>
      <c r="I1617" s="11">
        <f t="shared" si="42"/>
        <v>3036.0000000000005</v>
      </c>
      <c r="J1617" s="11">
        <v>-2000</v>
      </c>
      <c r="K1617" s="11">
        <v>-760</v>
      </c>
      <c r="L1617" s="11">
        <f t="shared" si="40"/>
        <v>-2760</v>
      </c>
      <c r="M1617" s="11">
        <f t="shared" si="41"/>
        <v>276.00000000000045</v>
      </c>
    </row>
    <row r="1618" spans="1:13">
      <c r="A1618" s="7">
        <v>45447</v>
      </c>
      <c r="B1618" s="8">
        <v>84.87378277153752</v>
      </c>
      <c r="E1618" s="13">
        <v>88</v>
      </c>
      <c r="F1618" s="10">
        <f>AVERAGE($E$1463:E1618)</f>
        <v>87.279967948717939</v>
      </c>
      <c r="I1618" s="11">
        <f t="shared" si="42"/>
        <v>3734.5000000000005</v>
      </c>
      <c r="J1618" s="11">
        <v>-2000</v>
      </c>
      <c r="K1618" s="11">
        <v>-1395</v>
      </c>
      <c r="L1618" s="11">
        <f t="shared" si="40"/>
        <v>-3395</v>
      </c>
      <c r="M1618" s="11">
        <f t="shared" si="41"/>
        <v>339.50000000000045</v>
      </c>
    </row>
    <row r="1619" spans="1:13">
      <c r="A1619" s="7">
        <v>45448</v>
      </c>
      <c r="B1619" s="8">
        <v>84.832116104870849</v>
      </c>
      <c r="E1619" s="13">
        <v>87.5</v>
      </c>
      <c r="F1619" s="10">
        <f>AVERAGE($E$1463:E1619)</f>
        <v>87.281369426751581</v>
      </c>
      <c r="I1619" s="11">
        <f t="shared" si="42"/>
        <v>4200.9000000000005</v>
      </c>
      <c r="J1619" s="11">
        <v>-2000</v>
      </c>
      <c r="K1619" s="11">
        <v>-1819</v>
      </c>
      <c r="L1619" s="11">
        <f t="shared" si="40"/>
        <v>-3819</v>
      </c>
      <c r="M1619" s="11">
        <f t="shared" si="41"/>
        <v>381.90000000000055</v>
      </c>
    </row>
    <row r="1620" spans="1:13">
      <c r="A1620" s="7">
        <v>45449</v>
      </c>
      <c r="B1620" s="8">
        <v>84.790449438204178</v>
      </c>
      <c r="E1620" s="13">
        <f>AVERAGE(E1619,E1622)</f>
        <v>88.3</v>
      </c>
      <c r="F1620" s="10">
        <f>AVERAGE($E$1463:E1620)</f>
        <v>87.287816455696188</v>
      </c>
      <c r="I1620" s="11">
        <f t="shared" si="42"/>
        <v>7779.2000000000007</v>
      </c>
      <c r="J1620" s="11">
        <v>-2000</v>
      </c>
      <c r="K1620" s="11">
        <v>-5072</v>
      </c>
      <c r="L1620" s="11">
        <f t="shared" si="40"/>
        <v>-7072</v>
      </c>
      <c r="M1620" s="11">
        <f t="shared" si="41"/>
        <v>707.20000000000073</v>
      </c>
    </row>
    <row r="1621" spans="1:13">
      <c r="A1621" s="7">
        <v>45450</v>
      </c>
      <c r="B1621" s="8">
        <v>84.748782771537506</v>
      </c>
      <c r="E1621" s="13">
        <f>AVERAGE(E1620,E1622)</f>
        <v>88.699999999999989</v>
      </c>
      <c r="F1621" s="10">
        <f>AVERAGE($E$1463:E1621)</f>
        <v>87.296698113207526</v>
      </c>
      <c r="I1621" s="11">
        <f t="shared" si="42"/>
        <v>2955.7000000000003</v>
      </c>
      <c r="J1621" s="11">
        <v>-2000</v>
      </c>
      <c r="K1621" s="11">
        <v>-687</v>
      </c>
      <c r="L1621" s="11">
        <f t="shared" si="40"/>
        <v>-2687</v>
      </c>
      <c r="M1621" s="11">
        <f t="shared" si="41"/>
        <v>268.70000000000027</v>
      </c>
    </row>
    <row r="1622" spans="1:13">
      <c r="A1622" s="7">
        <v>45451</v>
      </c>
      <c r="B1622" s="8">
        <v>84.707116104870835</v>
      </c>
      <c r="E1622" s="13">
        <v>89.1</v>
      </c>
      <c r="F1622" s="10">
        <f>AVERAGE($E$1463:E1622)</f>
        <v>87.307968749999986</v>
      </c>
      <c r="I1622" s="11">
        <f t="shared" si="42"/>
        <v>3017.3</v>
      </c>
      <c r="J1622" s="11">
        <v>-2000</v>
      </c>
      <c r="K1622" s="11">
        <v>-743</v>
      </c>
      <c r="L1622" s="11">
        <f t="shared" si="40"/>
        <v>-2743</v>
      </c>
      <c r="M1622" s="11">
        <f t="shared" si="41"/>
        <v>274.30000000000018</v>
      </c>
    </row>
    <row r="1623" spans="1:13">
      <c r="A1623" s="7">
        <v>45452</v>
      </c>
      <c r="B1623" s="8">
        <v>84.665449438204163</v>
      </c>
      <c r="E1623" s="13">
        <f>AVERAGE(E1622,E1624)</f>
        <v>88.1</v>
      </c>
      <c r="F1623" s="10">
        <f>AVERAGE($E$1463:E1623)</f>
        <v>87.312888198757747</v>
      </c>
      <c r="I1623" s="11">
        <f t="shared" si="42"/>
        <v>3648.7000000000003</v>
      </c>
      <c r="J1623" s="11">
        <v>-2000</v>
      </c>
      <c r="K1623" s="11">
        <v>-1317</v>
      </c>
      <c r="L1623" s="11">
        <f t="shared" si="40"/>
        <v>-3317</v>
      </c>
      <c r="M1623" s="11">
        <f t="shared" si="41"/>
        <v>331.70000000000027</v>
      </c>
    </row>
    <row r="1624" spans="1:13">
      <c r="A1624" s="7">
        <v>45453</v>
      </c>
      <c r="B1624" s="8">
        <v>84.623782771537492</v>
      </c>
      <c r="E1624" s="13">
        <v>87.1</v>
      </c>
      <c r="F1624" s="10">
        <f>AVERAGE($E$1463:E1624)</f>
        <v>87.311574074074059</v>
      </c>
      <c r="I1624" s="11">
        <f t="shared" si="42"/>
        <v>3435.3</v>
      </c>
      <c r="J1624" s="11">
        <v>-2000</v>
      </c>
      <c r="K1624" s="11">
        <v>-1123</v>
      </c>
      <c r="L1624" s="11">
        <f t="shared" si="40"/>
        <v>-3123</v>
      </c>
      <c r="M1624" s="11">
        <f t="shared" si="41"/>
        <v>312.30000000000018</v>
      </c>
    </row>
    <row r="1625" spans="1:13">
      <c r="A1625" s="7">
        <v>45454</v>
      </c>
      <c r="B1625" s="8">
        <v>84.582116104870821</v>
      </c>
      <c r="E1625" s="13">
        <v>86.8</v>
      </c>
      <c r="F1625" s="10">
        <f>AVERAGE($E$1463:E1625)</f>
        <v>87.308435582822071</v>
      </c>
      <c r="I1625" s="11">
        <f t="shared" si="42"/>
        <v>3023.9</v>
      </c>
      <c r="J1625" s="11">
        <v>-2000</v>
      </c>
      <c r="K1625" s="11">
        <v>-749</v>
      </c>
      <c r="L1625" s="11">
        <f t="shared" si="40"/>
        <v>-2749</v>
      </c>
      <c r="M1625" s="11">
        <f t="shared" si="41"/>
        <v>274.90000000000009</v>
      </c>
    </row>
    <row r="1626" spans="1:13">
      <c r="A1626" s="7">
        <v>45455</v>
      </c>
      <c r="B1626" s="8">
        <v>84.540449438204149</v>
      </c>
      <c r="E1626" s="13">
        <v>86.9</v>
      </c>
      <c r="F1626" s="10">
        <f>AVERAGE($E$1463:E1626)</f>
        <v>87.305945121951197</v>
      </c>
      <c r="I1626" s="11">
        <f t="shared" si="42"/>
        <v>3863.2000000000003</v>
      </c>
      <c r="J1626" s="11">
        <v>-2000</v>
      </c>
      <c r="K1626" s="11">
        <v>-1512</v>
      </c>
      <c r="L1626" s="11">
        <f t="shared" si="40"/>
        <v>-3512</v>
      </c>
      <c r="M1626" s="11">
        <f t="shared" si="41"/>
        <v>351.20000000000027</v>
      </c>
    </row>
    <row r="1627" spans="1:13">
      <c r="A1627" s="7">
        <v>45456</v>
      </c>
      <c r="B1627" s="8">
        <v>84.498782771537478</v>
      </c>
      <c r="E1627" s="13">
        <v>86.2</v>
      </c>
      <c r="F1627" s="10">
        <f>AVERAGE($E$1463:E1627)</f>
        <v>87.299242424242408</v>
      </c>
      <c r="I1627" s="11">
        <f t="shared" si="42"/>
        <v>3792.8</v>
      </c>
      <c r="J1627" s="11">
        <v>-2000</v>
      </c>
      <c r="K1627" s="11">
        <v>-1448</v>
      </c>
      <c r="L1627" s="11">
        <f t="shared" si="40"/>
        <v>-3448</v>
      </c>
      <c r="M1627" s="11">
        <f t="shared" si="41"/>
        <v>344.80000000000018</v>
      </c>
    </row>
    <row r="1628" spans="1:13">
      <c r="A1628" s="7">
        <v>45457</v>
      </c>
      <c r="B1628" s="8">
        <v>84.457116104870806</v>
      </c>
      <c r="E1628" s="13">
        <v>85.7</v>
      </c>
      <c r="F1628" s="10">
        <f>AVERAGE($E$1463:E1628)</f>
        <v>87.289608433734927</v>
      </c>
      <c r="I1628" s="11">
        <f t="shared" si="42"/>
        <v>6293.1</v>
      </c>
      <c r="J1628" s="11">
        <v>-2000</v>
      </c>
      <c r="K1628" s="11">
        <v>-3721</v>
      </c>
      <c r="L1628" s="11">
        <f t="shared" si="40"/>
        <v>-5721</v>
      </c>
      <c r="M1628" s="11">
        <f t="shared" si="41"/>
        <v>572.10000000000036</v>
      </c>
    </row>
    <row r="1629" spans="1:13">
      <c r="A1629" s="7">
        <v>45458</v>
      </c>
      <c r="B1629" s="8">
        <v>84.415449438204135</v>
      </c>
      <c r="E1629" s="13">
        <f>AVERAGE((E1628,E1630))</f>
        <v>86.1</v>
      </c>
      <c r="F1629" s="10">
        <f>AVERAGE($E$1463:E1629)</f>
        <v>87.282485029940119</v>
      </c>
      <c r="I1629" s="11">
        <f t="shared" si="42"/>
        <v>3023.9</v>
      </c>
      <c r="J1629" s="11">
        <v>-2000</v>
      </c>
      <c r="K1629" s="11">
        <v>-749</v>
      </c>
      <c r="L1629" s="11">
        <f t="shared" si="40"/>
        <v>-2749</v>
      </c>
      <c r="M1629" s="11">
        <f t="shared" si="41"/>
        <v>274.90000000000009</v>
      </c>
    </row>
    <row r="1630" spans="1:13">
      <c r="A1630" s="7">
        <v>45459</v>
      </c>
      <c r="B1630" s="8">
        <v>84.373782771537464</v>
      </c>
      <c r="E1630" s="13">
        <f>AVERAGE((E1628,E1631))</f>
        <v>86.5</v>
      </c>
      <c r="F1630" s="10">
        <f>AVERAGE($E$1463:E1630)</f>
        <v>87.277827380952374</v>
      </c>
      <c r="I1630" s="11">
        <f t="shared" si="42"/>
        <v>3902.8</v>
      </c>
      <c r="J1630" s="11">
        <v>-2000</v>
      </c>
      <c r="K1630" s="11">
        <v>-1548</v>
      </c>
      <c r="L1630" s="11">
        <f t="shared" si="40"/>
        <v>-3548</v>
      </c>
      <c r="M1630" s="11">
        <f t="shared" si="41"/>
        <v>354.80000000000018</v>
      </c>
    </row>
    <row r="1631" spans="1:13">
      <c r="A1631" s="7">
        <v>45460</v>
      </c>
      <c r="B1631" s="8">
        <v>84.332116104870792</v>
      </c>
      <c r="E1631" s="13">
        <f>AVERAGE((E1628,E1632))</f>
        <v>87.300000000000011</v>
      </c>
      <c r="F1631" s="10">
        <f>AVERAGE($E$1463:E1631)</f>
        <v>87.277958579881641</v>
      </c>
      <c r="I1631" s="11">
        <f t="shared" si="42"/>
        <v>4020.5000000000005</v>
      </c>
      <c r="J1631" s="11">
        <v>-2000</v>
      </c>
      <c r="K1631" s="11">
        <v>-1655</v>
      </c>
      <c r="L1631" s="11">
        <f t="shared" si="40"/>
        <v>-3655</v>
      </c>
      <c r="M1631" s="11">
        <f t="shared" si="41"/>
        <v>365.50000000000045</v>
      </c>
    </row>
    <row r="1632" spans="1:13">
      <c r="A1632" s="7">
        <v>45461</v>
      </c>
      <c r="B1632" s="8">
        <v>84.290449438204121</v>
      </c>
      <c r="E1632" s="13">
        <v>88.9</v>
      </c>
      <c r="F1632" s="10">
        <f>AVERAGE($E$1463:E1632)</f>
        <v>87.287499999999994</v>
      </c>
      <c r="I1632" s="11">
        <f t="shared" si="42"/>
        <v>3901.7000000000003</v>
      </c>
      <c r="J1632" s="11">
        <v>-2000</v>
      </c>
      <c r="K1632" s="11">
        <v>-1547</v>
      </c>
      <c r="L1632" s="11">
        <f t="shared" si="40"/>
        <v>-3547</v>
      </c>
      <c r="M1632" s="11">
        <f t="shared" si="41"/>
        <v>354.70000000000027</v>
      </c>
    </row>
    <row r="1633" spans="1:13">
      <c r="A1633" s="7">
        <v>45462</v>
      </c>
      <c r="B1633" s="8">
        <v>84.248782771537449</v>
      </c>
      <c r="E1633" s="13">
        <f>AVERAGE((E1630,E1634))</f>
        <v>87.234375</v>
      </c>
      <c r="F1633" s="10">
        <f>AVERAGE($E$1463:E1633)</f>
        <v>87.287189327485365</v>
      </c>
      <c r="I1633" s="11">
        <f t="shared" si="42"/>
        <v>2671.9</v>
      </c>
      <c r="J1633" s="11">
        <v>-2000</v>
      </c>
      <c r="K1633" s="11">
        <v>-429</v>
      </c>
      <c r="L1633" s="11">
        <f t="shared" si="40"/>
        <v>-2429</v>
      </c>
      <c r="M1633" s="11">
        <f t="shared" si="41"/>
        <v>242.90000000000009</v>
      </c>
    </row>
    <row r="1634" spans="1:13">
      <c r="A1634" s="7">
        <v>45463</v>
      </c>
      <c r="B1634" s="8">
        <v>84.207116104870778</v>
      </c>
      <c r="E1634" s="13">
        <f>AVERAGE((E1631,E1635))</f>
        <v>87.96875</v>
      </c>
      <c r="F1634" s="10">
        <f>AVERAGE($E$1463:E1634)</f>
        <v>87.291151889534873</v>
      </c>
      <c r="I1634" s="11">
        <f t="shared" si="42"/>
        <v>6068.7000000000007</v>
      </c>
      <c r="J1634" s="11">
        <v>-2000</v>
      </c>
      <c r="K1634" s="11">
        <v>-3517</v>
      </c>
      <c r="L1634" s="11">
        <f t="shared" si="40"/>
        <v>-5517</v>
      </c>
      <c r="M1634" s="11">
        <f t="shared" si="41"/>
        <v>551.70000000000073</v>
      </c>
    </row>
    <row r="1635" spans="1:13">
      <c r="A1635" s="7">
        <v>45464</v>
      </c>
      <c r="B1635" s="8">
        <v>84.165449438204107</v>
      </c>
      <c r="E1635" s="13">
        <f>AVERAGE((E1632,E1636))</f>
        <v>88.637500000000003</v>
      </c>
      <c r="F1635" s="10">
        <f>AVERAGE($E$1463:E1635)</f>
        <v>87.2989342485549</v>
      </c>
      <c r="I1635" s="11">
        <f t="shared" si="42"/>
        <v>13207.7</v>
      </c>
      <c r="J1635" s="11">
        <v>-2000</v>
      </c>
      <c r="K1635" s="11">
        <v>-10007</v>
      </c>
      <c r="L1635" s="11">
        <f t="shared" si="40"/>
        <v>-12007</v>
      </c>
      <c r="M1635" s="11">
        <f t="shared" si="41"/>
        <v>1200.7000000000007</v>
      </c>
    </row>
    <row r="1636" spans="1:13">
      <c r="A1636" s="7">
        <v>45465</v>
      </c>
      <c r="B1636" s="8">
        <v>84.123782771537435</v>
      </c>
      <c r="E1636" s="13">
        <f>AVERAGE((E1632,E1637))</f>
        <v>88.375</v>
      </c>
      <c r="F1636" s="10">
        <f>AVERAGE($E$1463:E1636)</f>
        <v>87.305118534482759</v>
      </c>
      <c r="I1636" s="11">
        <f t="shared" si="42"/>
        <v>2574</v>
      </c>
      <c r="J1636" s="11">
        <v>-2000</v>
      </c>
      <c r="K1636" s="11">
        <v>-340</v>
      </c>
      <c r="L1636" s="11">
        <f t="shared" si="40"/>
        <v>-2340</v>
      </c>
      <c r="M1636" s="11">
        <f t="shared" si="41"/>
        <v>234</v>
      </c>
    </row>
    <row r="1637" spans="1:13">
      <c r="A1637" s="7">
        <v>45466</v>
      </c>
      <c r="B1637" s="8">
        <v>84.082116104870764</v>
      </c>
      <c r="E1637" s="13">
        <f>AVERAGE((E1632,E1638))</f>
        <v>87.85</v>
      </c>
      <c r="F1637" s="10">
        <f>AVERAGE($E$1463:E1637)</f>
        <v>87.308232142857136</v>
      </c>
      <c r="I1637" s="11">
        <f t="shared" si="42"/>
        <v>3029.4</v>
      </c>
      <c r="J1637" s="11">
        <v>-2000</v>
      </c>
      <c r="K1637" s="11">
        <v>-754</v>
      </c>
      <c r="L1637" s="11">
        <f t="shared" si="40"/>
        <v>-2754</v>
      </c>
      <c r="M1637" s="11">
        <f t="shared" si="41"/>
        <v>275.40000000000009</v>
      </c>
    </row>
    <row r="1638" spans="1:13">
      <c r="A1638" s="7">
        <v>45467</v>
      </c>
      <c r="B1638" s="8">
        <v>84.040449438204092</v>
      </c>
      <c r="E1638" s="13">
        <v>86.8</v>
      </c>
      <c r="F1638" s="10">
        <f>AVERAGE($E$1463:E1638)</f>
        <v>87.305344460227261</v>
      </c>
      <c r="I1638" s="11">
        <f t="shared" si="42"/>
        <v>3557.4</v>
      </c>
      <c r="J1638" s="11">
        <v>-2000</v>
      </c>
      <c r="K1638" s="11">
        <v>-1234</v>
      </c>
      <c r="L1638" s="11">
        <f t="shared" si="40"/>
        <v>-3234</v>
      </c>
      <c r="M1638" s="11">
        <f t="shared" si="41"/>
        <v>323.40000000000009</v>
      </c>
    </row>
    <row r="1639" spans="1:13">
      <c r="A1639" s="7">
        <v>45468</v>
      </c>
      <c r="B1639" s="8">
        <v>83.998782771537421</v>
      </c>
      <c r="E1639" s="13">
        <v>85.8</v>
      </c>
      <c r="F1639" s="10">
        <f>AVERAGE($E$1463:E1639)</f>
        <v>87.296839689265525</v>
      </c>
      <c r="I1639" s="11">
        <f t="shared" si="42"/>
        <v>3590.4</v>
      </c>
      <c r="J1639" s="11">
        <v>-2000</v>
      </c>
      <c r="K1639" s="11">
        <v>-1264</v>
      </c>
      <c r="L1639" s="11">
        <f t="shared" si="40"/>
        <v>-3264</v>
      </c>
      <c r="M1639" s="11">
        <f t="shared" si="41"/>
        <v>326.40000000000009</v>
      </c>
    </row>
    <row r="1640" spans="1:13">
      <c r="A1640" s="7">
        <v>45469</v>
      </c>
      <c r="B1640" s="8">
        <v>83.957116104870749</v>
      </c>
      <c r="E1640" s="13">
        <v>86.8</v>
      </c>
      <c r="F1640" s="10">
        <f>AVERAGE($E$1463:E1640)</f>
        <v>87.294048455056156</v>
      </c>
      <c r="I1640" s="11">
        <f t="shared" si="42"/>
        <v>2830.3</v>
      </c>
      <c r="J1640" s="11">
        <v>-2000</v>
      </c>
      <c r="K1640" s="11">
        <v>-573</v>
      </c>
      <c r="L1640" s="11">
        <f t="shared" si="40"/>
        <v>-2573</v>
      </c>
      <c r="M1640" s="11">
        <f t="shared" si="41"/>
        <v>257.30000000000018</v>
      </c>
    </row>
    <row r="1641" spans="1:13">
      <c r="A1641" s="7">
        <v>45470</v>
      </c>
      <c r="B1641" s="8">
        <v>83.915449438204078</v>
      </c>
      <c r="E1641" s="13">
        <f>AVERAGE((E1640,E1642))</f>
        <v>86.35</v>
      </c>
      <c r="F1641" s="10">
        <f>AVERAGE($E$1463:E1641)</f>
        <v>87.288774441340763</v>
      </c>
      <c r="I1641" s="11">
        <f t="shared" si="42"/>
        <v>2893.0000000000005</v>
      </c>
      <c r="J1641" s="11">
        <v>-2000</v>
      </c>
      <c r="K1641" s="11">
        <v>-630</v>
      </c>
      <c r="L1641" s="11">
        <f t="shared" si="40"/>
        <v>-2630</v>
      </c>
      <c r="M1641" s="11">
        <f t="shared" si="41"/>
        <v>263.00000000000045</v>
      </c>
    </row>
    <row r="1642" spans="1:13">
      <c r="A1642" s="7">
        <v>45471</v>
      </c>
      <c r="B1642" s="8">
        <v>83.873782771537407</v>
      </c>
      <c r="E1642" s="13">
        <v>85.9</v>
      </c>
      <c r="F1642" s="10">
        <f>AVERAGE($E$1463:E1642)</f>
        <v>87.281059027777758</v>
      </c>
      <c r="I1642" s="11">
        <f t="shared" si="42"/>
        <v>3489.2000000000003</v>
      </c>
      <c r="J1642" s="11">
        <v>-2000</v>
      </c>
      <c r="K1642" s="11">
        <v>-1172</v>
      </c>
      <c r="L1642" s="11">
        <f t="shared" si="40"/>
        <v>-3172</v>
      </c>
      <c r="M1642" s="11">
        <f t="shared" si="41"/>
        <v>317.20000000000027</v>
      </c>
    </row>
    <row r="1643" spans="1:13">
      <c r="A1643" s="7">
        <v>45472</v>
      </c>
      <c r="B1643" s="8">
        <v>83.832116104870735</v>
      </c>
      <c r="E1643" s="13">
        <v>87.7</v>
      </c>
      <c r="F1643" s="10">
        <f>AVERAGE($E$1463:E1643)</f>
        <v>87.283373618784523</v>
      </c>
      <c r="I1643" s="11">
        <f t="shared" si="42"/>
        <v>3521.1000000000004</v>
      </c>
      <c r="J1643" s="11">
        <v>-2000</v>
      </c>
      <c r="K1643" s="11">
        <v>-1201</v>
      </c>
      <c r="L1643" s="11">
        <f t="shared" si="40"/>
        <v>-3201</v>
      </c>
      <c r="M1643" s="11">
        <f t="shared" si="41"/>
        <v>320.10000000000036</v>
      </c>
    </row>
    <row r="1644" spans="1:13">
      <c r="A1644" s="7">
        <v>45473</v>
      </c>
      <c r="B1644" s="8">
        <v>83.790449438204064</v>
      </c>
      <c r="E1644" s="13">
        <v>88.4</v>
      </c>
      <c r="F1644" s="10">
        <f>AVERAGE($E$1463:E1644)</f>
        <v>87.289508928571408</v>
      </c>
      <c r="I1644" s="11">
        <f t="shared" si="42"/>
        <v>3592.6000000000004</v>
      </c>
      <c r="J1644" s="11">
        <v>-2000</v>
      </c>
      <c r="K1644" s="11">
        <v>-1266</v>
      </c>
      <c r="L1644" s="11">
        <f t="shared" si="40"/>
        <v>-3266</v>
      </c>
      <c r="M1644" s="11">
        <f t="shared" si="41"/>
        <v>326.60000000000036</v>
      </c>
    </row>
    <row r="1645" spans="1:13">
      <c r="A1645" s="7">
        <v>45474</v>
      </c>
      <c r="B1645" s="8">
        <v>83.748782771537392</v>
      </c>
      <c r="E1645" s="13">
        <f>AVERAGE((E1644,E1646))</f>
        <v>88.800000000000011</v>
      </c>
      <c r="F1645" s="10">
        <f>AVERAGE($E$1463:E1645)</f>
        <v>87.29776297814206</v>
      </c>
      <c r="I1645" s="11">
        <f t="shared" si="42"/>
        <v>3440.8</v>
      </c>
      <c r="J1645" s="11">
        <v>-2000</v>
      </c>
      <c r="K1645" s="11">
        <v>-1128</v>
      </c>
      <c r="L1645" s="11">
        <f t="shared" si="40"/>
        <v>-3128</v>
      </c>
      <c r="M1645" s="11">
        <f t="shared" si="41"/>
        <v>312.80000000000018</v>
      </c>
    </row>
    <row r="1646" spans="1:13">
      <c r="A1646" s="7">
        <v>45475</v>
      </c>
      <c r="B1646" s="8">
        <v>83.707116104870721</v>
      </c>
      <c r="E1646" s="13">
        <v>89.2</v>
      </c>
      <c r="F1646" s="10">
        <f>AVERAGE($E$1463:E1646)</f>
        <v>87.308101222826068</v>
      </c>
      <c r="I1646" s="11">
        <f t="shared" si="42"/>
        <v>3660.8</v>
      </c>
      <c r="J1646" s="11">
        <v>-2000</v>
      </c>
      <c r="K1646" s="11">
        <v>-1328</v>
      </c>
      <c r="L1646" s="11">
        <f t="shared" si="40"/>
        <v>-3328</v>
      </c>
      <c r="M1646" s="11">
        <f t="shared" si="41"/>
        <v>332.80000000000018</v>
      </c>
    </row>
    <row r="1647" spans="1:13">
      <c r="A1647" s="7">
        <v>45476</v>
      </c>
      <c r="B1647" s="8">
        <v>83.66544943820405</v>
      </c>
      <c r="E1647" s="13">
        <v>89.5</v>
      </c>
      <c r="F1647" s="10">
        <f>AVERAGE($E$1463:E1647)</f>
        <v>87.319949324324313</v>
      </c>
      <c r="I1647" s="11">
        <f t="shared" si="42"/>
        <v>3468.3</v>
      </c>
      <c r="J1647" s="11">
        <v>-2000</v>
      </c>
      <c r="K1647" s="11">
        <v>-1153</v>
      </c>
      <c r="L1647" s="11">
        <f t="shared" si="40"/>
        <v>-3153</v>
      </c>
      <c r="M1647" s="11">
        <f t="shared" si="41"/>
        <v>315.30000000000018</v>
      </c>
    </row>
    <row r="1648" spans="1:13">
      <c r="A1648" s="7">
        <v>45477</v>
      </c>
      <c r="B1648" s="8">
        <v>83.623782771537378</v>
      </c>
      <c r="E1648" s="13">
        <v>90.2</v>
      </c>
      <c r="F1648" s="10">
        <f>AVERAGE($E$1463:E1648)</f>
        <v>87.335433467741922</v>
      </c>
      <c r="I1648" s="11">
        <f t="shared" si="42"/>
        <v>3605.8</v>
      </c>
      <c r="J1648" s="11">
        <v>-2000</v>
      </c>
      <c r="K1648" s="11">
        <v>-1278</v>
      </c>
      <c r="L1648" s="11">
        <f t="shared" si="40"/>
        <v>-3278</v>
      </c>
      <c r="M1648" s="11">
        <f t="shared" si="41"/>
        <v>327.80000000000018</v>
      </c>
    </row>
    <row r="1649" spans="1:13">
      <c r="A1649" s="7">
        <v>45478</v>
      </c>
      <c r="B1649" s="8">
        <v>83.582116104870707</v>
      </c>
      <c r="E1649" s="13">
        <v>90.6</v>
      </c>
      <c r="F1649" s="10">
        <f>AVERAGE($E$1463:E1649)</f>
        <v>87.35289104278074</v>
      </c>
      <c r="I1649" s="11">
        <f t="shared" si="42"/>
        <v>3282.4</v>
      </c>
      <c r="J1649" s="11">
        <v>-2000</v>
      </c>
      <c r="K1649" s="11">
        <v>-984</v>
      </c>
      <c r="L1649" s="11">
        <f t="shared" si="40"/>
        <v>-2984</v>
      </c>
      <c r="M1649" s="11">
        <f t="shared" si="41"/>
        <v>298.40000000000009</v>
      </c>
    </row>
    <row r="1650" spans="1:13">
      <c r="A1650" s="7">
        <v>45479</v>
      </c>
      <c r="B1650" s="8">
        <v>83.540449438204035</v>
      </c>
      <c r="E1650" s="13">
        <v>90.4</v>
      </c>
      <c r="F1650" s="10">
        <f>AVERAGE($E$1463:E1650)</f>
        <v>87.36909906914893</v>
      </c>
      <c r="I1650" s="11">
        <f t="shared" si="42"/>
        <v>3823.6000000000004</v>
      </c>
      <c r="J1650" s="11">
        <v>-2000</v>
      </c>
      <c r="K1650" s="11">
        <v>-1476</v>
      </c>
      <c r="L1650" s="11">
        <f t="shared" si="40"/>
        <v>-3476</v>
      </c>
      <c r="M1650" s="11">
        <f t="shared" si="41"/>
        <v>347.60000000000036</v>
      </c>
    </row>
    <row r="1651" spans="1:13">
      <c r="A1651" s="7">
        <v>45480</v>
      </c>
      <c r="B1651" s="8">
        <v>83.498782771537364</v>
      </c>
      <c r="E1651" s="13">
        <v>89.8</v>
      </c>
      <c r="F1651" s="10">
        <f>AVERAGE($E$1463:E1651)</f>
        <v>87.381960978835977</v>
      </c>
      <c r="I1651" s="11">
        <f t="shared" si="42"/>
        <v>3964.4000000000005</v>
      </c>
      <c r="J1651" s="11">
        <v>-2000</v>
      </c>
      <c r="K1651" s="11">
        <v>-1604</v>
      </c>
      <c r="L1651" s="11">
        <f t="shared" si="40"/>
        <v>-3604</v>
      </c>
      <c r="M1651" s="11">
        <f t="shared" si="41"/>
        <v>360.40000000000055</v>
      </c>
    </row>
    <row r="1652" spans="1:13">
      <c r="A1652" s="7">
        <v>45481</v>
      </c>
      <c r="B1652" s="8">
        <v>83.457116104870693</v>
      </c>
      <c r="E1652" s="13">
        <v>90.1</v>
      </c>
      <c r="F1652" s="10">
        <f>AVERAGE($E$1463:E1652)</f>
        <v>87.396266447368404</v>
      </c>
      <c r="I1652" s="11">
        <f t="shared" si="42"/>
        <v>3744.4</v>
      </c>
      <c r="J1652" s="11">
        <v>-2000</v>
      </c>
      <c r="K1652" s="11">
        <v>-1404</v>
      </c>
      <c r="L1652" s="11">
        <f t="shared" si="40"/>
        <v>-3404</v>
      </c>
      <c r="M1652" s="11">
        <f t="shared" si="41"/>
        <v>340.40000000000009</v>
      </c>
    </row>
    <row r="1653" spans="1:13">
      <c r="A1653" s="7">
        <v>45482</v>
      </c>
      <c r="B1653" s="8">
        <v>83.415449438204021</v>
      </c>
      <c r="E1653" s="13">
        <v>90.6</v>
      </c>
      <c r="F1653" s="10">
        <f>AVERAGE($E$1463:E1653)</f>
        <v>87.413039921465952</v>
      </c>
      <c r="I1653" s="11">
        <f t="shared" si="42"/>
        <v>3278.0000000000005</v>
      </c>
      <c r="J1653" s="11">
        <v>-2000</v>
      </c>
      <c r="K1653" s="11">
        <v>-980</v>
      </c>
      <c r="L1653" s="11">
        <f t="shared" si="40"/>
        <v>-2980</v>
      </c>
      <c r="M1653" s="11">
        <f t="shared" si="41"/>
        <v>298.00000000000045</v>
      </c>
    </row>
    <row r="1654" spans="1:13">
      <c r="A1654" s="7">
        <v>45483</v>
      </c>
      <c r="B1654" s="8">
        <v>83.37378277153735</v>
      </c>
      <c r="E1654" s="13">
        <v>91.2</v>
      </c>
      <c r="F1654" s="10">
        <f>AVERAGE($E$1463:E1654)</f>
        <v>87.43276367187498</v>
      </c>
      <c r="I1654" s="11">
        <f t="shared" si="42"/>
        <v>4264.7000000000007</v>
      </c>
      <c r="J1654" s="11">
        <v>-2000</v>
      </c>
      <c r="K1654" s="11">
        <v>-1877</v>
      </c>
      <c r="L1654" s="11">
        <f t="shared" si="40"/>
        <v>-3877</v>
      </c>
      <c r="M1654" s="11">
        <f t="shared" si="41"/>
        <v>387.70000000000073</v>
      </c>
    </row>
    <row r="1655" spans="1:13">
      <c r="A1655" s="7">
        <v>45484</v>
      </c>
      <c r="B1655" s="8">
        <v>83.332116104870678</v>
      </c>
      <c r="E1655" s="13">
        <v>91.4</v>
      </c>
      <c r="F1655" s="10">
        <f>AVERAGE($E$1463:E1655)</f>
        <v>87.453319300518132</v>
      </c>
      <c r="I1655" s="11">
        <f t="shared" si="42"/>
        <v>3955.6000000000004</v>
      </c>
      <c r="J1655" s="11">
        <v>-2000</v>
      </c>
      <c r="K1655" s="11">
        <v>-1596</v>
      </c>
      <c r="L1655" s="11">
        <f t="shared" si="40"/>
        <v>-3596</v>
      </c>
      <c r="M1655" s="11">
        <f t="shared" si="41"/>
        <v>359.60000000000036</v>
      </c>
    </row>
    <row r="1656" spans="1:13">
      <c r="A1656" s="7">
        <v>45485</v>
      </c>
      <c r="B1656" s="8">
        <v>83.290449438204007</v>
      </c>
      <c r="E1656" s="13">
        <v>91.8</v>
      </c>
      <c r="F1656" s="10">
        <f>AVERAGE($E$1463:E1656)</f>
        <v>87.475724871134005</v>
      </c>
      <c r="I1656" s="11">
        <f t="shared" si="42"/>
        <v>3921.5000000000005</v>
      </c>
      <c r="J1656" s="11">
        <v>-2000</v>
      </c>
      <c r="K1656" s="11">
        <v>-1565</v>
      </c>
      <c r="L1656" s="11">
        <f t="shared" si="40"/>
        <v>-3565</v>
      </c>
      <c r="M1656" s="11">
        <f t="shared" si="41"/>
        <v>356.50000000000045</v>
      </c>
    </row>
    <row r="1657" spans="1:13">
      <c r="A1657" s="7">
        <v>45486</v>
      </c>
      <c r="B1657" s="8">
        <v>83.248782771537336</v>
      </c>
      <c r="E1657" s="13">
        <v>90.5</v>
      </c>
      <c r="F1657" s="10">
        <f>AVERAGE($E$1463:E1657)</f>
        <v>87.491233974358963</v>
      </c>
      <c r="I1657" s="11">
        <f t="shared" si="42"/>
        <v>3251.6000000000004</v>
      </c>
      <c r="J1657" s="11">
        <v>-2000</v>
      </c>
      <c r="K1657" s="11">
        <v>-956</v>
      </c>
      <c r="L1657" s="11">
        <f t="shared" ref="L1657:L1720" si="43">SUM(J1657:K1657)</f>
        <v>-2956</v>
      </c>
      <c r="M1657" s="11">
        <f t="shared" ref="M1657:M1720" si="44">I1657+J1657+K1657</f>
        <v>295.60000000000036</v>
      </c>
    </row>
    <row r="1658" spans="1:13">
      <c r="A1658" s="7">
        <v>45487</v>
      </c>
      <c r="B1658" s="8">
        <v>83.207116104870664</v>
      </c>
      <c r="E1658" s="13">
        <v>90.6</v>
      </c>
      <c r="F1658" s="10">
        <f>AVERAGE($E$1463:E1658)</f>
        <v>87.507095025510182</v>
      </c>
      <c r="I1658" s="11">
        <f t="shared" si="42"/>
        <v>5352.6</v>
      </c>
      <c r="J1658" s="11">
        <v>-2000</v>
      </c>
      <c r="K1658" s="11">
        <v>-2866</v>
      </c>
      <c r="L1658" s="11">
        <f t="shared" si="43"/>
        <v>-4866</v>
      </c>
      <c r="M1658" s="11">
        <f t="shared" si="44"/>
        <v>486.60000000000036</v>
      </c>
    </row>
    <row r="1659" spans="1:13">
      <c r="A1659" s="7">
        <v>45488</v>
      </c>
      <c r="B1659" s="8">
        <v>89.96544943820399</v>
      </c>
      <c r="E1659" s="13">
        <v>89.7</v>
      </c>
      <c r="F1659" s="10">
        <f>AVERAGE($E$1463:E1659)</f>
        <v>87.518226522842625</v>
      </c>
      <c r="I1659" s="11">
        <v>2213</v>
      </c>
      <c r="J1659" s="11">
        <v>-2000</v>
      </c>
      <c r="K1659" s="11">
        <v>-821</v>
      </c>
      <c r="L1659" s="11">
        <f t="shared" si="43"/>
        <v>-2821</v>
      </c>
      <c r="M1659" s="11">
        <f t="shared" si="44"/>
        <v>-608</v>
      </c>
    </row>
    <row r="1660" spans="1:13">
      <c r="A1660" s="7">
        <v>45489</v>
      </c>
      <c r="B1660" s="8">
        <v>89.83211610487065</v>
      </c>
      <c r="E1660" s="13">
        <v>89.4</v>
      </c>
      <c r="F1660" s="10">
        <f>AVERAGE($E$1463:E1660)</f>
        <v>87.527730429292916</v>
      </c>
      <c r="I1660" s="11">
        <v>2508</v>
      </c>
      <c r="J1660" s="11">
        <v>-2000</v>
      </c>
      <c r="K1660" s="11">
        <v>-653</v>
      </c>
      <c r="L1660" s="11">
        <f t="shared" si="43"/>
        <v>-2653</v>
      </c>
      <c r="M1660" s="11">
        <f t="shared" si="44"/>
        <v>-145</v>
      </c>
    </row>
    <row r="1661" spans="1:13">
      <c r="A1661" s="7">
        <v>45490</v>
      </c>
      <c r="B1661" s="8">
        <v>89.69878277153731</v>
      </c>
      <c r="E1661" s="13">
        <v>89.6</v>
      </c>
      <c r="F1661" s="10">
        <f>AVERAGE($E$1463:E1661)</f>
        <v>87.538143844221096</v>
      </c>
      <c r="I1661" s="11">
        <v>2394</v>
      </c>
      <c r="J1661" s="11">
        <v>-2000</v>
      </c>
      <c r="K1661" s="11">
        <v>-1567</v>
      </c>
      <c r="L1661" s="11">
        <f t="shared" si="43"/>
        <v>-3567</v>
      </c>
      <c r="M1661" s="11">
        <f t="shared" si="44"/>
        <v>-1173</v>
      </c>
    </row>
    <row r="1662" spans="1:13">
      <c r="A1662" s="7">
        <v>45491</v>
      </c>
      <c r="B1662" s="8">
        <v>89.56544943820397</v>
      </c>
      <c r="E1662" s="13">
        <v>88.9</v>
      </c>
      <c r="F1662" s="10">
        <f>AVERAGE($E$1463:E1662)</f>
        <v>87.544953124999992</v>
      </c>
      <c r="I1662" s="11">
        <v>2166</v>
      </c>
      <c r="J1662" s="11">
        <v>-2000</v>
      </c>
      <c r="K1662" s="11">
        <v>-1389</v>
      </c>
      <c r="L1662" s="11">
        <f t="shared" si="43"/>
        <v>-3389</v>
      </c>
      <c r="M1662" s="11">
        <f t="shared" si="44"/>
        <v>-1223</v>
      </c>
    </row>
    <row r="1663" spans="1:13">
      <c r="A1663" s="7">
        <v>45492</v>
      </c>
      <c r="B1663" s="8">
        <v>89.43211610487063</v>
      </c>
      <c r="E1663" s="13">
        <v>87.6</v>
      </c>
      <c r="F1663" s="10">
        <f>AVERAGE($E$1463:E1663)</f>
        <v>87.545226990049741</v>
      </c>
      <c r="I1663" s="11">
        <v>2697</v>
      </c>
      <c r="J1663" s="11">
        <v>-2000</v>
      </c>
      <c r="K1663" s="11">
        <v>-1135</v>
      </c>
      <c r="L1663" s="11">
        <f t="shared" si="43"/>
        <v>-3135</v>
      </c>
      <c r="M1663" s="11">
        <f t="shared" si="44"/>
        <v>-438</v>
      </c>
    </row>
    <row r="1664" spans="1:13">
      <c r="A1664" s="7">
        <v>45493</v>
      </c>
      <c r="B1664" s="8">
        <v>89.29878277153729</v>
      </c>
      <c r="E1664" s="13">
        <v>87.4</v>
      </c>
      <c r="F1664" s="10">
        <f>AVERAGE($E$1463:E1664)</f>
        <v>87.544508044554448</v>
      </c>
      <c r="I1664" s="11">
        <f t="shared" ref="I1664:I1672" si="45">-(J1664+K1664)*110%</f>
        <v>3533.2000000000003</v>
      </c>
      <c r="J1664" s="11">
        <v>-2000</v>
      </c>
      <c r="K1664" s="11">
        <v>-1212</v>
      </c>
      <c r="L1664" s="11">
        <f t="shared" si="43"/>
        <v>-3212</v>
      </c>
      <c r="M1664" s="11">
        <f t="shared" si="44"/>
        <v>321.20000000000027</v>
      </c>
    </row>
    <row r="1665" spans="1:13">
      <c r="A1665" s="7">
        <v>45494</v>
      </c>
      <c r="B1665" s="8">
        <v>89.16544943820395</v>
      </c>
      <c r="E1665" s="13">
        <v>87.6</v>
      </c>
      <c r="F1665" s="10">
        <f>AVERAGE($E$1463:E1665)</f>
        <v>87.544781403940874</v>
      </c>
      <c r="I1665" s="11">
        <f t="shared" si="45"/>
        <v>6193.0000000000009</v>
      </c>
      <c r="J1665" s="11">
        <v>-2000</v>
      </c>
      <c r="K1665" s="11">
        <v>-3630</v>
      </c>
      <c r="L1665" s="11">
        <f t="shared" si="43"/>
        <v>-5630</v>
      </c>
      <c r="M1665" s="11">
        <f t="shared" si="44"/>
        <v>563.00000000000091</v>
      </c>
    </row>
    <row r="1666" spans="1:13">
      <c r="A1666" s="7">
        <v>45495</v>
      </c>
      <c r="B1666" s="8">
        <v>89.03211610487061</v>
      </c>
      <c r="E1666" s="13">
        <v>87.8</v>
      </c>
      <c r="F1666" s="10">
        <f>AVERAGE($E$1463:E1666)</f>
        <v>87.546032475490179</v>
      </c>
      <c r="I1666" s="11">
        <v>1804</v>
      </c>
      <c r="J1666" s="11">
        <v>-2000</v>
      </c>
      <c r="K1666" s="11">
        <v>-767</v>
      </c>
      <c r="L1666" s="11">
        <f t="shared" si="43"/>
        <v>-2767</v>
      </c>
      <c r="M1666" s="11">
        <f t="shared" si="44"/>
        <v>-963</v>
      </c>
    </row>
    <row r="1667" spans="1:13">
      <c r="A1667" s="7">
        <v>45496</v>
      </c>
      <c r="B1667" s="8">
        <v>88.89878277153727</v>
      </c>
      <c r="E1667" s="13">
        <v>88</v>
      </c>
      <c r="F1667" s="10">
        <f>AVERAGE($E$1463:E1667)</f>
        <v>87.548246951219497</v>
      </c>
      <c r="I1667" s="11">
        <f t="shared" si="45"/>
        <v>3775.2000000000003</v>
      </c>
      <c r="J1667" s="11">
        <v>-2000</v>
      </c>
      <c r="K1667" s="11">
        <v>-1432</v>
      </c>
      <c r="L1667" s="11">
        <f t="shared" si="43"/>
        <v>-3432</v>
      </c>
      <c r="M1667" s="11">
        <f t="shared" si="44"/>
        <v>343.20000000000027</v>
      </c>
    </row>
    <row r="1668" spans="1:13">
      <c r="A1668" s="7">
        <v>45497</v>
      </c>
      <c r="B1668" s="8">
        <v>88.76544943820393</v>
      </c>
      <c r="E1668" s="13">
        <v>87.7</v>
      </c>
      <c r="F1668" s="10">
        <f>AVERAGE($E$1463:E1668)</f>
        <v>87.548983616504842</v>
      </c>
      <c r="I1668" s="11">
        <f t="shared" si="45"/>
        <v>3467.2000000000003</v>
      </c>
      <c r="J1668" s="11">
        <v>-2000</v>
      </c>
      <c r="K1668" s="11">
        <v>-1152</v>
      </c>
      <c r="L1668" s="11">
        <f t="shared" si="43"/>
        <v>-3152</v>
      </c>
      <c r="M1668" s="11">
        <f t="shared" si="44"/>
        <v>315.20000000000027</v>
      </c>
    </row>
    <row r="1669" spans="1:13">
      <c r="A1669" s="7">
        <v>45498</v>
      </c>
      <c r="B1669" s="8">
        <v>88.63211610487059</v>
      </c>
      <c r="E1669" s="13">
        <v>88.2</v>
      </c>
      <c r="F1669" s="10">
        <f>AVERAGE($E$1463:E1669)</f>
        <v>87.552128623188395</v>
      </c>
      <c r="I1669" s="11">
        <f t="shared" si="45"/>
        <v>3858.8</v>
      </c>
      <c r="J1669" s="11">
        <v>-2000</v>
      </c>
      <c r="K1669" s="11">
        <v>-1508</v>
      </c>
      <c r="L1669" s="11">
        <f t="shared" si="43"/>
        <v>-3508</v>
      </c>
      <c r="M1669" s="11">
        <f t="shared" si="44"/>
        <v>350.80000000000018</v>
      </c>
    </row>
    <row r="1670" spans="1:13">
      <c r="A1670" s="7">
        <v>45499</v>
      </c>
      <c r="B1670" s="8">
        <v>88.49878277153725</v>
      </c>
      <c r="E1670" s="13">
        <v>87.8</v>
      </c>
      <c r="F1670" s="10">
        <f>AVERAGE($E$1463:E1670)</f>
        <v>87.553320312499991</v>
      </c>
      <c r="I1670" s="11">
        <f t="shared" si="45"/>
        <v>3430.9</v>
      </c>
      <c r="J1670" s="11">
        <v>-2000</v>
      </c>
      <c r="K1670" s="11">
        <v>-1119</v>
      </c>
      <c r="L1670" s="11">
        <f t="shared" si="43"/>
        <v>-3119</v>
      </c>
      <c r="M1670" s="11">
        <f t="shared" si="44"/>
        <v>311.90000000000009</v>
      </c>
    </row>
    <row r="1671" spans="1:13">
      <c r="A1671" s="7">
        <v>45500</v>
      </c>
      <c r="B1671" s="8">
        <v>88.36544943820391</v>
      </c>
      <c r="E1671" s="13">
        <v>88</v>
      </c>
      <c r="F1671" s="10">
        <f>AVERAGE($E$1463:E1671)</f>
        <v>87.555457535885154</v>
      </c>
      <c r="I1671" s="11">
        <f t="shared" si="45"/>
        <v>3070.1000000000004</v>
      </c>
      <c r="J1671" s="11">
        <v>-2000</v>
      </c>
      <c r="K1671" s="11">
        <v>-791</v>
      </c>
      <c r="L1671" s="11">
        <f t="shared" si="43"/>
        <v>-2791</v>
      </c>
      <c r="M1671" s="11">
        <f t="shared" si="44"/>
        <v>279.10000000000036</v>
      </c>
    </row>
    <row r="1672" spans="1:13">
      <c r="A1672" s="7">
        <v>45501</v>
      </c>
      <c r="B1672" s="8">
        <v>88.23211610487057</v>
      </c>
      <c r="E1672" s="13">
        <v>89</v>
      </c>
      <c r="F1672" s="10">
        <f>AVERAGE($E$1463:E1672)</f>
        <v>87.562336309523801</v>
      </c>
      <c r="I1672" s="11">
        <f t="shared" si="45"/>
        <v>2944.7000000000003</v>
      </c>
      <c r="J1672" s="11">
        <v>-2000</v>
      </c>
      <c r="K1672" s="11">
        <v>-677</v>
      </c>
      <c r="L1672" s="11">
        <f t="shared" si="43"/>
        <v>-2677</v>
      </c>
      <c r="M1672" s="11">
        <f t="shared" si="44"/>
        <v>267.70000000000027</v>
      </c>
    </row>
    <row r="1673" spans="1:13">
      <c r="A1673" s="7">
        <v>45502</v>
      </c>
      <c r="B1673" s="8">
        <v>88.09878277153723</v>
      </c>
      <c r="E1673" s="13">
        <v>88.7</v>
      </c>
      <c r="F1673" s="10">
        <f>AVERAGE($E$1463:E1673)</f>
        <v>87.567728080568713</v>
      </c>
      <c r="I1673" s="11">
        <v>1799</v>
      </c>
      <c r="J1673" s="11">
        <v>-2000</v>
      </c>
      <c r="K1673" s="11">
        <v>-1612</v>
      </c>
      <c r="L1673" s="11">
        <f t="shared" si="43"/>
        <v>-3612</v>
      </c>
      <c r="M1673" s="11">
        <f t="shared" si="44"/>
        <v>-1813</v>
      </c>
    </row>
    <row r="1674" spans="1:13">
      <c r="A1674" s="7">
        <v>45503</v>
      </c>
      <c r="B1674" s="8">
        <v>87.965449438203891</v>
      </c>
      <c r="E1674" s="13">
        <v>88.1</v>
      </c>
      <c r="F1674" s="10">
        <f>AVERAGE($E$1463:E1674)</f>
        <v>87.570238797169793</v>
      </c>
      <c r="I1674" s="11">
        <f t="shared" ref="I1674:I1742" si="46">-(J1674+K1674)*110%</f>
        <v>3828.0000000000005</v>
      </c>
      <c r="J1674" s="11">
        <v>-2000</v>
      </c>
      <c r="K1674" s="11">
        <v>-1480</v>
      </c>
      <c r="L1674" s="11">
        <f t="shared" si="43"/>
        <v>-3480</v>
      </c>
      <c r="M1674" s="11">
        <f t="shared" si="44"/>
        <v>348.00000000000045</v>
      </c>
    </row>
    <row r="1675" spans="1:13">
      <c r="A1675" s="7">
        <v>45504</v>
      </c>
      <c r="B1675" s="8">
        <v>87.923782771537219</v>
      </c>
      <c r="E1675" s="13">
        <v>88.5</v>
      </c>
      <c r="F1675" s="10">
        <f>AVERAGE($E$1463:E1675)</f>
        <v>87.574603873239425</v>
      </c>
      <c r="I1675" s="11">
        <f t="shared" si="46"/>
        <v>3873.1000000000004</v>
      </c>
      <c r="J1675" s="11">
        <v>-2000</v>
      </c>
      <c r="K1675" s="11">
        <v>-1521</v>
      </c>
      <c r="L1675" s="11">
        <f t="shared" si="43"/>
        <v>-3521</v>
      </c>
      <c r="M1675" s="11">
        <f t="shared" si="44"/>
        <v>352.10000000000036</v>
      </c>
    </row>
    <row r="1676" spans="1:13">
      <c r="A1676" s="7">
        <v>45505</v>
      </c>
      <c r="B1676" s="8">
        <v>87.882116104870548</v>
      </c>
      <c r="E1676" s="13">
        <v>87.3</v>
      </c>
      <c r="F1676" s="10">
        <f>AVERAGE($E$1463:E1676)</f>
        <v>87.573320677570067</v>
      </c>
      <c r="I1676" s="11">
        <f t="shared" si="46"/>
        <v>3632.2000000000003</v>
      </c>
      <c r="J1676" s="11">
        <v>-2000</v>
      </c>
      <c r="K1676" s="11">
        <v>-1302</v>
      </c>
      <c r="L1676" s="11">
        <f t="shared" si="43"/>
        <v>-3302</v>
      </c>
      <c r="M1676" s="11">
        <f t="shared" si="44"/>
        <v>330.20000000000027</v>
      </c>
    </row>
    <row r="1677" spans="1:13">
      <c r="A1677" s="7">
        <v>45506</v>
      </c>
      <c r="B1677" s="8">
        <v>87.840449438203876</v>
      </c>
      <c r="E1677" s="13">
        <v>87.6</v>
      </c>
      <c r="F1677" s="10">
        <f>AVERAGE($E$1463:E1677)</f>
        <v>87.573444767441828</v>
      </c>
      <c r="I1677" s="11">
        <f t="shared" si="46"/>
        <v>3273.6000000000004</v>
      </c>
      <c r="J1677" s="11">
        <v>-2000</v>
      </c>
      <c r="K1677" s="11">
        <v>-976</v>
      </c>
      <c r="L1677" s="11">
        <f t="shared" si="43"/>
        <v>-2976</v>
      </c>
      <c r="M1677" s="11">
        <f t="shared" si="44"/>
        <v>297.60000000000036</v>
      </c>
    </row>
    <row r="1678" spans="1:13">
      <c r="A1678" s="7">
        <v>45507</v>
      </c>
      <c r="B1678" s="8">
        <v>87.798782771537205</v>
      </c>
      <c r="E1678" s="13">
        <v>88.1</v>
      </c>
      <c r="F1678" s="10">
        <f>AVERAGE($E$1463:E1678)</f>
        <v>87.57588252314811</v>
      </c>
      <c r="I1678" s="11">
        <f t="shared" si="46"/>
        <v>3014.0000000000005</v>
      </c>
      <c r="J1678" s="11">
        <v>-2000</v>
      </c>
      <c r="K1678" s="11">
        <v>-740</v>
      </c>
      <c r="L1678" s="11">
        <f t="shared" si="43"/>
        <v>-2740</v>
      </c>
      <c r="M1678" s="11">
        <f t="shared" si="44"/>
        <v>274.00000000000045</v>
      </c>
    </row>
    <row r="1679" spans="1:13">
      <c r="A1679" s="7">
        <v>45508</v>
      </c>
      <c r="B1679" s="8">
        <v>87.757116104870533</v>
      </c>
      <c r="E1679" s="13">
        <v>88.1</v>
      </c>
      <c r="F1679" s="10">
        <f>AVERAGE($E$1463:E1679)</f>
        <v>87.578297811059869</v>
      </c>
      <c r="I1679" s="11">
        <f t="shared" si="46"/>
        <v>3538.7000000000003</v>
      </c>
      <c r="J1679" s="11">
        <v>-2000</v>
      </c>
      <c r="K1679" s="11">
        <v>-1217</v>
      </c>
      <c r="L1679" s="11">
        <f t="shared" si="43"/>
        <v>-3217</v>
      </c>
      <c r="M1679" s="11">
        <f t="shared" si="44"/>
        <v>321.70000000000027</v>
      </c>
    </row>
    <row r="1680" spans="1:13">
      <c r="A1680" s="7">
        <v>45509</v>
      </c>
      <c r="B1680" s="8">
        <v>87.715449438203862</v>
      </c>
      <c r="E1680" s="13">
        <v>87.7</v>
      </c>
      <c r="F1680" s="10">
        <f>AVERAGE($E$1463:E1680)</f>
        <v>87.578856077981612</v>
      </c>
      <c r="I1680" s="11">
        <f t="shared" si="46"/>
        <v>2850.1000000000004</v>
      </c>
      <c r="J1680" s="11">
        <v>-2000</v>
      </c>
      <c r="K1680" s="11">
        <v>-591</v>
      </c>
      <c r="L1680" s="11">
        <f t="shared" si="43"/>
        <v>-2591</v>
      </c>
      <c r="M1680" s="11">
        <f t="shared" si="44"/>
        <v>259.10000000000036</v>
      </c>
    </row>
    <row r="1681" spans="1:13">
      <c r="A1681" s="7">
        <v>45510</v>
      </c>
      <c r="B1681" s="8">
        <v>87.673782771537191</v>
      </c>
      <c r="E1681" s="13">
        <v>87.2</v>
      </c>
      <c r="F1681" s="10">
        <f>AVERAGE($E$1463:E1681)</f>
        <v>87.577126141552483</v>
      </c>
      <c r="I1681" s="11">
        <f t="shared" si="46"/>
        <v>3056.9</v>
      </c>
      <c r="J1681" s="11">
        <v>-2000</v>
      </c>
      <c r="K1681" s="11">
        <v>-779</v>
      </c>
      <c r="L1681" s="11">
        <f t="shared" si="43"/>
        <v>-2779</v>
      </c>
      <c r="M1681" s="11">
        <f t="shared" si="44"/>
        <v>277.90000000000009</v>
      </c>
    </row>
    <row r="1682" spans="1:13">
      <c r="A1682" s="7">
        <v>45511</v>
      </c>
      <c r="B1682" s="8">
        <v>87.632116104870519</v>
      </c>
      <c r="E1682" s="13">
        <v>86.9</v>
      </c>
      <c r="F1682" s="10">
        <f>AVERAGE($E$1463:E1682)</f>
        <v>87.574048295454517</v>
      </c>
      <c r="I1682" s="11">
        <f t="shared" si="46"/>
        <v>3424.3</v>
      </c>
      <c r="J1682" s="11">
        <v>-2000</v>
      </c>
      <c r="K1682" s="11">
        <v>-1113</v>
      </c>
      <c r="L1682" s="11">
        <f t="shared" si="43"/>
        <v>-3113</v>
      </c>
      <c r="M1682" s="11">
        <f t="shared" si="44"/>
        <v>311.30000000000018</v>
      </c>
    </row>
    <row r="1683" spans="1:13">
      <c r="A1683" s="7">
        <v>45512</v>
      </c>
      <c r="B1683" s="8">
        <v>87.590449438203848</v>
      </c>
      <c r="E1683" s="13">
        <v>88.5</v>
      </c>
      <c r="F1683" s="10">
        <f>AVERAGE($E$1463:E1683)</f>
        <v>87.578238122171925</v>
      </c>
      <c r="I1683" s="11">
        <f t="shared" si="46"/>
        <v>3173.5000000000005</v>
      </c>
      <c r="J1683" s="11">
        <v>-2000</v>
      </c>
      <c r="K1683" s="11">
        <v>-885</v>
      </c>
      <c r="L1683" s="11">
        <f t="shared" si="43"/>
        <v>-2885</v>
      </c>
      <c r="M1683" s="11">
        <f t="shared" si="44"/>
        <v>288.50000000000045</v>
      </c>
    </row>
    <row r="1684" spans="1:13">
      <c r="A1684" s="7">
        <v>45513</v>
      </c>
      <c r="B1684" s="8">
        <v>87.548782771537176</v>
      </c>
      <c r="E1684" s="13">
        <f>AVERAGE(E1683,E1685)</f>
        <v>87.9</v>
      </c>
      <c r="F1684" s="10">
        <f>AVERAGE($E$1463:E1684)</f>
        <v>87.579687499999977</v>
      </c>
      <c r="I1684" s="11">
        <f t="shared" si="46"/>
        <v>2839.1000000000004</v>
      </c>
      <c r="J1684" s="11">
        <v>-2000</v>
      </c>
      <c r="K1684" s="11">
        <v>-581</v>
      </c>
      <c r="L1684" s="11">
        <f t="shared" si="43"/>
        <v>-2581</v>
      </c>
      <c r="M1684" s="11">
        <f t="shared" si="44"/>
        <v>258.10000000000036</v>
      </c>
    </row>
    <row r="1685" spans="1:13">
      <c r="A1685" s="7">
        <v>45514</v>
      </c>
      <c r="B1685" s="8">
        <v>87.507116104870505</v>
      </c>
      <c r="E1685" s="13">
        <v>87.3</v>
      </c>
      <c r="F1685" s="10">
        <f>AVERAGE($E$1463:E1685)</f>
        <v>87.578433295964103</v>
      </c>
      <c r="I1685" s="11">
        <f t="shared" si="46"/>
        <v>2757.7000000000003</v>
      </c>
      <c r="J1685" s="11">
        <v>-2000</v>
      </c>
      <c r="K1685" s="11">
        <v>-507</v>
      </c>
      <c r="L1685" s="11">
        <f t="shared" si="43"/>
        <v>-2507</v>
      </c>
      <c r="M1685" s="11">
        <f t="shared" si="44"/>
        <v>250.70000000000027</v>
      </c>
    </row>
    <row r="1686" spans="1:13">
      <c r="A1686" s="7">
        <v>45515</v>
      </c>
      <c r="B1686" s="8">
        <v>87.465449438203834</v>
      </c>
      <c r="E1686" s="13">
        <v>87.9</v>
      </c>
      <c r="F1686" s="10">
        <f>AVERAGE($E$1463:E1686)</f>
        <v>87.579868861607125</v>
      </c>
      <c r="I1686" s="11">
        <f t="shared" si="46"/>
        <v>3034.9</v>
      </c>
      <c r="J1686" s="11">
        <v>-2000</v>
      </c>
      <c r="K1686" s="11">
        <v>-759</v>
      </c>
      <c r="L1686" s="11">
        <f t="shared" si="43"/>
        <v>-2759</v>
      </c>
      <c r="M1686" s="11">
        <f t="shared" si="44"/>
        <v>275.90000000000009</v>
      </c>
    </row>
    <row r="1687" spans="1:13">
      <c r="A1687" s="7">
        <v>45516</v>
      </c>
      <c r="B1687" s="8">
        <v>87.423782771537162</v>
      </c>
      <c r="E1687" s="13">
        <v>87.9</v>
      </c>
      <c r="F1687" s="10">
        <f>AVERAGE($E$1463:E1687)</f>
        <v>87.581291666666658</v>
      </c>
      <c r="I1687" s="11">
        <f t="shared" si="46"/>
        <v>3194.4</v>
      </c>
      <c r="J1687" s="11">
        <v>-2000</v>
      </c>
      <c r="K1687" s="11">
        <v>-904</v>
      </c>
      <c r="L1687" s="11">
        <f t="shared" si="43"/>
        <v>-2904</v>
      </c>
      <c r="M1687" s="11">
        <f t="shared" si="44"/>
        <v>290.40000000000009</v>
      </c>
    </row>
    <row r="1688" spans="1:13">
      <c r="A1688" s="7">
        <v>45517</v>
      </c>
      <c r="B1688" s="8">
        <v>87.382116104870491</v>
      </c>
      <c r="E1688" s="13">
        <v>87.1</v>
      </c>
      <c r="F1688" s="10">
        <f>AVERAGE($E$1463:E1688)</f>
        <v>87.579162057522112</v>
      </c>
      <c r="I1688" s="11">
        <f t="shared" si="46"/>
        <v>4128.3</v>
      </c>
      <c r="J1688" s="11">
        <v>-2000</v>
      </c>
      <c r="K1688" s="11">
        <v>-1753</v>
      </c>
      <c r="L1688" s="11">
        <f t="shared" si="43"/>
        <v>-3753</v>
      </c>
      <c r="M1688" s="11">
        <f t="shared" si="44"/>
        <v>375.30000000000018</v>
      </c>
    </row>
    <row r="1689" spans="1:13">
      <c r="A1689" s="7">
        <v>45518</v>
      </c>
      <c r="B1689" s="8">
        <v>87.340449438203819</v>
      </c>
      <c r="E1689" s="13">
        <f>AVERAGE(E1688,E1690)</f>
        <v>87.699999999999989</v>
      </c>
      <c r="F1689" s="10">
        <f>AVERAGE($E$1463:E1689)</f>
        <v>87.579694383259906</v>
      </c>
      <c r="I1689" s="11">
        <f t="shared" si="46"/>
        <v>3058.0000000000005</v>
      </c>
      <c r="J1689" s="11">
        <v>-2000</v>
      </c>
      <c r="K1689" s="11">
        <v>-780</v>
      </c>
      <c r="L1689" s="11">
        <f t="shared" si="43"/>
        <v>-2780</v>
      </c>
      <c r="M1689" s="11">
        <f t="shared" si="44"/>
        <v>278.00000000000045</v>
      </c>
    </row>
    <row r="1690" spans="1:13">
      <c r="A1690" s="7">
        <v>45519</v>
      </c>
      <c r="B1690" s="8">
        <v>87.298782771537148</v>
      </c>
      <c r="E1690" s="13">
        <v>88.3</v>
      </c>
      <c r="F1690" s="10">
        <f>AVERAGE($E$1463:E1690)</f>
        <v>87.582853618421041</v>
      </c>
      <c r="I1690" s="11">
        <f t="shared" si="46"/>
        <v>2915.0000000000005</v>
      </c>
      <c r="J1690" s="11">
        <v>-2000</v>
      </c>
      <c r="K1690" s="11">
        <v>-650</v>
      </c>
      <c r="L1690" s="11">
        <f t="shared" si="43"/>
        <v>-2650</v>
      </c>
      <c r="M1690" s="11">
        <f t="shared" si="44"/>
        <v>265.00000000000045</v>
      </c>
    </row>
    <row r="1691" spans="1:13">
      <c r="A1691" s="7">
        <v>45520</v>
      </c>
      <c r="B1691" s="8">
        <v>87.257116104870477</v>
      </c>
      <c r="E1691" s="13">
        <f>AVERAGE(E1690,E1694)</f>
        <v>88.35</v>
      </c>
      <c r="F1691" s="10">
        <f>AVERAGE($E$1463:E1691)</f>
        <v>87.58620360262006</v>
      </c>
      <c r="I1691" s="11">
        <f t="shared" si="46"/>
        <v>3748.8</v>
      </c>
      <c r="J1691" s="11">
        <v>-2000</v>
      </c>
      <c r="K1691" s="11">
        <v>-1408</v>
      </c>
      <c r="L1691" s="11">
        <f t="shared" si="43"/>
        <v>-3408</v>
      </c>
      <c r="M1691" s="11">
        <f t="shared" si="44"/>
        <v>340.80000000000018</v>
      </c>
    </row>
    <row r="1692" spans="1:13">
      <c r="A1692" s="7">
        <v>45521</v>
      </c>
      <c r="B1692" s="8">
        <v>87.215449438203805</v>
      </c>
      <c r="E1692" s="13">
        <f>AVERAGE(E1691,E1694)</f>
        <v>88.375</v>
      </c>
      <c r="F1692" s="10">
        <f>AVERAGE($E$1463:E1692)</f>
        <v>87.589633152173889</v>
      </c>
      <c r="I1692" s="11">
        <f t="shared" si="46"/>
        <v>3509.0000000000005</v>
      </c>
      <c r="J1692" s="11">
        <v>-2000</v>
      </c>
      <c r="K1692" s="11">
        <v>-1190</v>
      </c>
      <c r="L1692" s="11">
        <f t="shared" si="43"/>
        <v>-3190</v>
      </c>
      <c r="M1692" s="11">
        <f t="shared" si="44"/>
        <v>319.00000000000045</v>
      </c>
    </row>
    <row r="1693" spans="1:13">
      <c r="A1693" s="7">
        <v>45522</v>
      </c>
      <c r="B1693" s="8">
        <v>87.173782771537134</v>
      </c>
      <c r="E1693" s="13">
        <f>AVERAGE(E1692,E1694)</f>
        <v>88.387500000000003</v>
      </c>
      <c r="F1693" s="10">
        <f>AVERAGE($E$1463:E1693)</f>
        <v>87.593087121212108</v>
      </c>
      <c r="I1693" s="11">
        <f t="shared" si="46"/>
        <v>3505.7000000000003</v>
      </c>
      <c r="J1693" s="11">
        <v>-2000</v>
      </c>
      <c r="K1693" s="11">
        <v>-1187</v>
      </c>
      <c r="L1693" s="11">
        <f t="shared" si="43"/>
        <v>-3187</v>
      </c>
      <c r="M1693" s="11">
        <f t="shared" si="44"/>
        <v>318.70000000000027</v>
      </c>
    </row>
    <row r="1694" spans="1:13">
      <c r="A1694" s="7">
        <v>45523</v>
      </c>
      <c r="B1694" s="8">
        <v>87.132116104870462</v>
      </c>
      <c r="E1694" s="13">
        <v>88.4</v>
      </c>
      <c r="F1694" s="10">
        <f>AVERAGE($E$1463:E1694)</f>
        <v>87.596565193965503</v>
      </c>
      <c r="I1694" s="11">
        <f t="shared" si="46"/>
        <v>3594.8</v>
      </c>
      <c r="J1694" s="11">
        <v>-2000</v>
      </c>
      <c r="K1694" s="11">
        <v>-1268</v>
      </c>
      <c r="L1694" s="11">
        <f t="shared" si="43"/>
        <v>-3268</v>
      </c>
      <c r="M1694" s="11">
        <f t="shared" si="44"/>
        <v>326.80000000000018</v>
      </c>
    </row>
    <row r="1695" spans="1:13">
      <c r="A1695" s="7">
        <v>45524</v>
      </c>
      <c r="B1695" s="8">
        <v>87.090449438203791</v>
      </c>
      <c r="E1695" s="13">
        <v>88.5</v>
      </c>
      <c r="F1695" s="10">
        <f>AVERAGE($E$1463:E1695)</f>
        <v>87.600442596566509</v>
      </c>
      <c r="I1695" s="11">
        <f t="shared" si="46"/>
        <v>3466.1000000000004</v>
      </c>
      <c r="J1695" s="11">
        <v>-2000</v>
      </c>
      <c r="K1695" s="11">
        <v>-1151</v>
      </c>
      <c r="L1695" s="11">
        <f t="shared" si="43"/>
        <v>-3151</v>
      </c>
      <c r="M1695" s="11">
        <f t="shared" si="44"/>
        <v>315.10000000000036</v>
      </c>
    </row>
    <row r="1696" spans="1:13">
      <c r="A1696" s="7">
        <v>45525</v>
      </c>
      <c r="B1696" s="8">
        <v>87.04878277153712</v>
      </c>
      <c r="E1696" s="13">
        <f>AVERAGE(E1695,E1697)</f>
        <v>88.35</v>
      </c>
      <c r="F1696" s="10">
        <f>AVERAGE($E$1463:E1696)</f>
        <v>87.603645833333317</v>
      </c>
      <c r="I1696" s="11">
        <f t="shared" si="46"/>
        <v>3109.7000000000003</v>
      </c>
      <c r="J1696" s="11">
        <v>-2000</v>
      </c>
      <c r="K1696" s="11">
        <v>-827</v>
      </c>
      <c r="L1696" s="11">
        <f t="shared" si="43"/>
        <v>-2827</v>
      </c>
      <c r="M1696" s="11">
        <f t="shared" si="44"/>
        <v>282.70000000000027</v>
      </c>
    </row>
    <row r="1697" spans="1:13">
      <c r="A1697" s="7">
        <v>45526</v>
      </c>
      <c r="B1697" s="8">
        <v>87.007116104870448</v>
      </c>
      <c r="E1697" s="13">
        <v>88.2</v>
      </c>
      <c r="F1697" s="10">
        <f>AVERAGE($E$1463:E1697)</f>
        <v>87.606183510638289</v>
      </c>
      <c r="I1697" s="11">
        <f t="shared" si="46"/>
        <v>3476.0000000000005</v>
      </c>
      <c r="J1697" s="11">
        <v>-2000</v>
      </c>
      <c r="K1697" s="11">
        <v>-1160</v>
      </c>
      <c r="L1697" s="11">
        <f t="shared" si="43"/>
        <v>-3160</v>
      </c>
      <c r="M1697" s="11">
        <f t="shared" si="44"/>
        <v>316.00000000000045</v>
      </c>
    </row>
    <row r="1698" spans="1:13">
      <c r="A1698" s="7">
        <v>45527</v>
      </c>
      <c r="B1698" s="8">
        <v>86.965449438203777</v>
      </c>
      <c r="E1698" s="13">
        <f>AVERAGE(E1697,E1699)</f>
        <v>87.95</v>
      </c>
      <c r="F1698" s="10">
        <f>AVERAGE($E$1463:E1698)</f>
        <v>87.607640360169484</v>
      </c>
      <c r="I1698" s="11">
        <f t="shared" si="46"/>
        <v>2997.5000000000005</v>
      </c>
      <c r="J1698" s="11">
        <v>-2000</v>
      </c>
      <c r="K1698" s="11">
        <v>-725</v>
      </c>
      <c r="L1698" s="11">
        <f t="shared" si="43"/>
        <v>-2725</v>
      </c>
      <c r="M1698" s="11">
        <f t="shared" si="44"/>
        <v>272.50000000000045</v>
      </c>
    </row>
    <row r="1699" spans="1:13">
      <c r="A1699" s="7">
        <v>45528</v>
      </c>
      <c r="B1699" s="8">
        <v>86.923782771537105</v>
      </c>
      <c r="E1699" s="13">
        <v>87.7</v>
      </c>
      <c r="F1699" s="10">
        <f>AVERAGE($E$1463:E1699)</f>
        <v>87.608030063291125</v>
      </c>
      <c r="I1699" s="11">
        <f t="shared" si="46"/>
        <v>2948.0000000000005</v>
      </c>
      <c r="J1699" s="11">
        <v>-2000</v>
      </c>
      <c r="K1699" s="11">
        <v>-680</v>
      </c>
      <c r="L1699" s="11">
        <f t="shared" si="43"/>
        <v>-2680</v>
      </c>
      <c r="M1699" s="11">
        <f t="shared" si="44"/>
        <v>268.00000000000045</v>
      </c>
    </row>
    <row r="1700" spans="1:13">
      <c r="A1700" s="7">
        <v>45529</v>
      </c>
      <c r="B1700" s="8">
        <v>86.882116104870434</v>
      </c>
      <c r="E1700" s="13">
        <f>AVERAGE(E1699,E1705)</f>
        <v>88.25</v>
      </c>
      <c r="F1700" s="10">
        <f>AVERAGE($E$1463:E1700)</f>
        <v>87.61072741596638</v>
      </c>
      <c r="I1700" s="11">
        <f t="shared" si="46"/>
        <v>2975.5000000000005</v>
      </c>
      <c r="J1700" s="11">
        <v>-2000</v>
      </c>
      <c r="K1700" s="11">
        <v>-705</v>
      </c>
      <c r="L1700" s="11">
        <f t="shared" si="43"/>
        <v>-2705</v>
      </c>
      <c r="M1700" s="11">
        <f t="shared" si="44"/>
        <v>270.50000000000045</v>
      </c>
    </row>
    <row r="1701" spans="1:13">
      <c r="A1701" s="7">
        <v>45530</v>
      </c>
      <c r="B1701" s="8">
        <v>86.840449438203763</v>
      </c>
      <c r="E1701" s="13">
        <f>AVERAGE(E1700,E1705)</f>
        <v>88.525000000000006</v>
      </c>
      <c r="F1701" s="10">
        <f>AVERAGE($E$1463:E1701)</f>
        <v>87.614552824267776</v>
      </c>
      <c r="I1701" s="11">
        <f t="shared" si="46"/>
        <v>3025.0000000000005</v>
      </c>
      <c r="J1701" s="11">
        <v>-2000</v>
      </c>
      <c r="K1701" s="11">
        <v>-750</v>
      </c>
      <c r="L1701" s="11">
        <f t="shared" si="43"/>
        <v>-2750</v>
      </c>
      <c r="M1701" s="11">
        <f t="shared" si="44"/>
        <v>275.00000000000045</v>
      </c>
    </row>
    <row r="1702" spans="1:13">
      <c r="A1702" s="7">
        <v>45531</v>
      </c>
      <c r="B1702" s="8">
        <v>86.798782771537091</v>
      </c>
      <c r="E1702" s="13">
        <v>89.5</v>
      </c>
      <c r="F1702" s="10">
        <f>AVERAGE($E$1463:E1702)</f>
        <v>87.622408854166665</v>
      </c>
      <c r="I1702" s="11">
        <f t="shared" si="46"/>
        <v>3025.0000000000005</v>
      </c>
      <c r="J1702" s="11">
        <v>-2000</v>
      </c>
      <c r="K1702" s="11">
        <v>-750</v>
      </c>
      <c r="L1702" s="11">
        <f t="shared" si="43"/>
        <v>-2750</v>
      </c>
      <c r="M1702" s="11">
        <f t="shared" si="44"/>
        <v>275.00000000000045</v>
      </c>
    </row>
    <row r="1703" spans="1:13">
      <c r="A1703" s="7">
        <v>45532</v>
      </c>
      <c r="B1703" s="8">
        <v>86.75711610487042</v>
      </c>
      <c r="E1703" s="13">
        <v>88.7</v>
      </c>
      <c r="F1703" s="10">
        <f>AVERAGE($E$1463:E1703)</f>
        <v>87.626880186721991</v>
      </c>
      <c r="I1703" s="11">
        <f t="shared" si="46"/>
        <v>3025.0000000000005</v>
      </c>
      <c r="J1703" s="11">
        <v>-2000</v>
      </c>
      <c r="K1703" s="11">
        <v>-750</v>
      </c>
      <c r="L1703" s="11">
        <f t="shared" si="43"/>
        <v>-2750</v>
      </c>
      <c r="M1703" s="11">
        <f t="shared" si="44"/>
        <v>275.00000000000045</v>
      </c>
    </row>
    <row r="1704" spans="1:13">
      <c r="A1704" s="7">
        <v>45533</v>
      </c>
      <c r="B1704" s="8">
        <v>86.715449438203748</v>
      </c>
      <c r="E1704" s="13">
        <v>89.2</v>
      </c>
      <c r="F1704" s="10">
        <f>AVERAGE($E$1463:E1704)</f>
        <v>87.633380681818181</v>
      </c>
      <c r="I1704" s="11">
        <f t="shared" si="46"/>
        <v>3025.0000000000005</v>
      </c>
      <c r="J1704" s="11">
        <v>-2000</v>
      </c>
      <c r="K1704" s="11">
        <v>-750</v>
      </c>
      <c r="L1704" s="11">
        <f t="shared" si="43"/>
        <v>-2750</v>
      </c>
      <c r="M1704" s="11">
        <f t="shared" si="44"/>
        <v>275.00000000000045</v>
      </c>
    </row>
    <row r="1705" spans="1:13">
      <c r="A1705" s="7">
        <v>45534</v>
      </c>
      <c r="B1705" s="8">
        <v>86.673782771537077</v>
      </c>
      <c r="E1705" s="13">
        <v>88.8</v>
      </c>
      <c r="F1705" s="10">
        <f>AVERAGE($E$1463:E1705)</f>
        <v>87.638181584362144</v>
      </c>
      <c r="I1705" s="11">
        <f t="shared" si="46"/>
        <v>2915.0000000000005</v>
      </c>
      <c r="J1705" s="11">
        <v>-2000</v>
      </c>
      <c r="K1705" s="11">
        <v>-650</v>
      </c>
      <c r="L1705" s="11">
        <f t="shared" si="43"/>
        <v>-2650</v>
      </c>
      <c r="M1705" s="11">
        <f t="shared" si="44"/>
        <v>265.00000000000045</v>
      </c>
    </row>
    <row r="1706" spans="1:13">
      <c r="A1706" s="7">
        <v>45535</v>
      </c>
      <c r="B1706" s="8">
        <v>86.632116104870406</v>
      </c>
      <c r="E1706" s="13">
        <v>89.5</v>
      </c>
      <c r="F1706" s="10">
        <f>AVERAGE($E$1463:E1706)</f>
        <v>87.645811987704917</v>
      </c>
      <c r="I1706" s="11">
        <f t="shared" si="46"/>
        <v>4290</v>
      </c>
      <c r="J1706" s="11">
        <v>-2000</v>
      </c>
      <c r="K1706" s="11">
        <v>-1900</v>
      </c>
      <c r="L1706" s="11">
        <f t="shared" si="43"/>
        <v>-3900</v>
      </c>
      <c r="M1706" s="11">
        <f t="shared" si="44"/>
        <v>390</v>
      </c>
    </row>
    <row r="1707" spans="1:13">
      <c r="A1707" s="7">
        <v>45536</v>
      </c>
      <c r="B1707" s="8">
        <v>87.99044943820374</v>
      </c>
      <c r="E1707" s="13">
        <v>90.1</v>
      </c>
      <c r="F1707" s="10">
        <f>AVERAGE($E$1463:E1707)</f>
        <v>87.655829081632646</v>
      </c>
      <c r="I1707" s="11">
        <f t="shared" si="46"/>
        <v>3146.0000000000005</v>
      </c>
      <c r="J1707" s="11">
        <v>-2000</v>
      </c>
      <c r="K1707" s="11">
        <v>-860</v>
      </c>
      <c r="L1707" s="11">
        <f t="shared" si="43"/>
        <v>-2860</v>
      </c>
      <c r="M1707" s="11">
        <f t="shared" si="44"/>
        <v>286.00000000000045</v>
      </c>
    </row>
    <row r="1708" spans="1:13">
      <c r="A1708" s="7">
        <v>45537</v>
      </c>
      <c r="B1708" s="8">
        <v>87.948782771537068</v>
      </c>
      <c r="E1708" s="13">
        <v>89.5</v>
      </c>
      <c r="F1708" s="10">
        <f>AVERAGE($E$1463:E1708)</f>
        <v>87.663325711382114</v>
      </c>
      <c r="I1708" s="11">
        <f t="shared" si="46"/>
        <v>3492.5000000000005</v>
      </c>
      <c r="J1708" s="11">
        <v>-2000</v>
      </c>
      <c r="K1708" s="11">
        <v>-1175</v>
      </c>
      <c r="L1708" s="11">
        <f t="shared" si="43"/>
        <v>-3175</v>
      </c>
      <c r="M1708" s="11">
        <f t="shared" si="44"/>
        <v>317.50000000000045</v>
      </c>
    </row>
    <row r="1709" spans="1:13">
      <c r="A1709" s="7">
        <v>45538</v>
      </c>
      <c r="B1709" s="8">
        <v>87.907116104870397</v>
      </c>
      <c r="E1709" s="13">
        <v>87.8</v>
      </c>
      <c r="F1709" s="10">
        <f>AVERAGE($E$1463:E1709)</f>
        <v>87.663879048582984</v>
      </c>
      <c r="I1709" s="11">
        <f t="shared" si="46"/>
        <v>3481.5000000000005</v>
      </c>
      <c r="J1709" s="11">
        <v>-2000</v>
      </c>
      <c r="K1709" s="11">
        <v>-1165</v>
      </c>
      <c r="L1709" s="11">
        <f t="shared" si="43"/>
        <v>-3165</v>
      </c>
      <c r="M1709" s="11">
        <f t="shared" si="44"/>
        <v>316.50000000000045</v>
      </c>
    </row>
    <row r="1710" spans="1:13">
      <c r="A1710" s="7">
        <v>45539</v>
      </c>
      <c r="B1710" s="8">
        <v>87.865449438203726</v>
      </c>
      <c r="E1710" s="13">
        <v>87.7</v>
      </c>
      <c r="F1710" s="10">
        <f>AVERAGE($E$1463:E1710)</f>
        <v>87.664024697580643</v>
      </c>
      <c r="I1710" s="11">
        <f t="shared" si="46"/>
        <v>3234.0000000000005</v>
      </c>
      <c r="J1710" s="11">
        <v>-2000</v>
      </c>
      <c r="K1710" s="11">
        <v>-940</v>
      </c>
      <c r="L1710" s="11">
        <f t="shared" si="43"/>
        <v>-2940</v>
      </c>
      <c r="M1710" s="11">
        <f t="shared" si="44"/>
        <v>294.00000000000045</v>
      </c>
    </row>
    <row r="1711" spans="1:13">
      <c r="A1711" s="7">
        <v>45540</v>
      </c>
      <c r="B1711" s="8">
        <v>87.823782771537054</v>
      </c>
      <c r="E1711" s="13">
        <v>87</v>
      </c>
      <c r="F1711" s="10">
        <f>AVERAGE($E$1463:E1711)</f>
        <v>87.661357931726897</v>
      </c>
      <c r="I1711" s="11">
        <f t="shared" si="46"/>
        <v>3203.2000000000003</v>
      </c>
      <c r="J1711" s="11">
        <v>-2000</v>
      </c>
      <c r="K1711" s="11">
        <v>-912</v>
      </c>
      <c r="L1711" s="11">
        <f t="shared" si="43"/>
        <v>-2912</v>
      </c>
      <c r="M1711" s="11">
        <f t="shared" si="44"/>
        <v>291.20000000000027</v>
      </c>
    </row>
    <row r="1712" spans="1:13">
      <c r="A1712" s="7">
        <v>45541</v>
      </c>
      <c r="B1712" s="8">
        <v>87.782116104870383</v>
      </c>
      <c r="E1712" s="13">
        <v>87.8</v>
      </c>
      <c r="F1712" s="10">
        <f>AVERAGE($E$1463:E1712)</f>
        <v>87.661912499999985</v>
      </c>
      <c r="I1712" s="11">
        <f t="shared" si="46"/>
        <v>3122.9</v>
      </c>
      <c r="J1712" s="11">
        <v>-2000</v>
      </c>
      <c r="K1712" s="11">
        <v>-839</v>
      </c>
      <c r="L1712" s="11">
        <f t="shared" si="43"/>
        <v>-2839</v>
      </c>
      <c r="M1712" s="11">
        <f t="shared" si="44"/>
        <v>283.90000000000009</v>
      </c>
    </row>
    <row r="1713" spans="1:13">
      <c r="A1713" s="7">
        <v>45542</v>
      </c>
      <c r="B1713" s="8">
        <v>87.740449438203711</v>
      </c>
      <c r="E1713" s="13">
        <v>88.2</v>
      </c>
      <c r="F1713" s="10">
        <f>AVERAGE($E$1463:E1713)</f>
        <v>87.664056274900389</v>
      </c>
      <c r="I1713" s="11">
        <f t="shared" si="46"/>
        <v>5273.4000000000005</v>
      </c>
      <c r="J1713" s="11">
        <v>-2000</v>
      </c>
      <c r="K1713" s="11">
        <v>-2794</v>
      </c>
      <c r="L1713" s="11">
        <f t="shared" si="43"/>
        <v>-4794</v>
      </c>
      <c r="M1713" s="11">
        <f t="shared" si="44"/>
        <v>479.40000000000055</v>
      </c>
    </row>
    <row r="1714" spans="1:13">
      <c r="A1714" s="7">
        <v>45543</v>
      </c>
      <c r="B1714" s="8">
        <v>87.69878277153704</v>
      </c>
      <c r="E1714" s="13">
        <v>88.1</v>
      </c>
      <c r="F1714" s="10">
        <f>AVERAGE($E$1463:E1714)</f>
        <v>87.665786210317449</v>
      </c>
      <c r="I1714" s="11">
        <f t="shared" si="46"/>
        <v>3520.0000000000005</v>
      </c>
      <c r="J1714" s="11">
        <v>-2000</v>
      </c>
      <c r="K1714" s="11">
        <v>-1200</v>
      </c>
      <c r="L1714" s="11">
        <f t="shared" si="43"/>
        <v>-3200</v>
      </c>
      <c r="M1714" s="11">
        <f t="shared" si="44"/>
        <v>320.00000000000045</v>
      </c>
    </row>
    <row r="1715" spans="1:13">
      <c r="A1715" s="7">
        <v>45544</v>
      </c>
      <c r="B1715" s="8">
        <v>87.657116104870369</v>
      </c>
      <c r="E1715" s="13">
        <v>88</v>
      </c>
      <c r="F1715" s="10">
        <f>AVERAGE($E$1463:E1715)</f>
        <v>87.667107213438726</v>
      </c>
      <c r="I1715" s="11">
        <f t="shared" si="46"/>
        <v>3038.2000000000003</v>
      </c>
      <c r="J1715" s="11">
        <v>-2000</v>
      </c>
      <c r="K1715" s="11">
        <v>-762</v>
      </c>
      <c r="L1715" s="11">
        <f t="shared" si="43"/>
        <v>-2762</v>
      </c>
      <c r="M1715" s="11">
        <f t="shared" si="44"/>
        <v>276.20000000000027</v>
      </c>
    </row>
    <row r="1716" spans="1:13">
      <c r="A1716" s="7">
        <v>45545</v>
      </c>
      <c r="B1716" s="8">
        <v>87.615449438203697</v>
      </c>
      <c r="E1716" s="13">
        <v>87.9</v>
      </c>
      <c r="F1716" s="10">
        <f>AVERAGE($E$1463:E1716)</f>
        <v>87.668024114173221</v>
      </c>
      <c r="I1716" s="11">
        <f t="shared" si="46"/>
        <v>3120.7000000000003</v>
      </c>
      <c r="J1716" s="11">
        <v>-2000</v>
      </c>
      <c r="K1716" s="11">
        <v>-837</v>
      </c>
      <c r="L1716" s="11">
        <f t="shared" si="43"/>
        <v>-2837</v>
      </c>
      <c r="M1716" s="11">
        <f t="shared" si="44"/>
        <v>283.70000000000027</v>
      </c>
    </row>
    <row r="1717" spans="1:13">
      <c r="A1717" s="7">
        <v>45546</v>
      </c>
      <c r="B1717" s="8">
        <v>87.573782771537026</v>
      </c>
      <c r="E1717" s="13">
        <v>87.4</v>
      </c>
      <c r="F1717" s="10">
        <f>AVERAGE($E$1463:E1717)</f>
        <v>87.666973039215691</v>
      </c>
      <c r="I1717" s="11">
        <f t="shared" si="46"/>
        <v>2998.6000000000004</v>
      </c>
      <c r="J1717" s="11">
        <v>-2000</v>
      </c>
      <c r="K1717" s="11">
        <v>-726</v>
      </c>
      <c r="L1717" s="11">
        <f t="shared" si="43"/>
        <v>-2726</v>
      </c>
      <c r="M1717" s="11">
        <f t="shared" si="44"/>
        <v>272.60000000000036</v>
      </c>
    </row>
    <row r="1718" spans="1:13">
      <c r="A1718" s="7">
        <v>45547</v>
      </c>
      <c r="B1718" s="8">
        <v>87.532116104870354</v>
      </c>
      <c r="E1718" s="13">
        <v>87</v>
      </c>
      <c r="F1718" s="10">
        <f>AVERAGE($E$1463:E1718)</f>
        <v>87.66436767578125</v>
      </c>
      <c r="I1718" s="11">
        <f t="shared" si="46"/>
        <v>3329.7000000000003</v>
      </c>
      <c r="J1718" s="11">
        <v>-2000</v>
      </c>
      <c r="K1718" s="11">
        <v>-1027</v>
      </c>
      <c r="L1718" s="11">
        <f t="shared" si="43"/>
        <v>-3027</v>
      </c>
      <c r="M1718" s="11">
        <f t="shared" si="44"/>
        <v>302.70000000000027</v>
      </c>
    </row>
    <row r="1719" spans="1:13">
      <c r="A1719" s="7">
        <v>45548</v>
      </c>
      <c r="B1719" s="8">
        <v>87.490449438203683</v>
      </c>
      <c r="E1719" s="13">
        <f>AVERAGE(E1718,E1722)</f>
        <v>88.85</v>
      </c>
      <c r="F1719" s="10">
        <f>AVERAGE($E$1463:E1719)</f>
        <v>87.668981031128396</v>
      </c>
      <c r="I1719" s="11">
        <f t="shared" si="46"/>
        <v>3228.5000000000005</v>
      </c>
      <c r="J1719" s="11">
        <v>-2000</v>
      </c>
      <c r="K1719" s="11">
        <v>-935</v>
      </c>
      <c r="L1719" s="11">
        <f t="shared" si="43"/>
        <v>-2935</v>
      </c>
      <c r="M1719" s="11">
        <f t="shared" si="44"/>
        <v>293.50000000000045</v>
      </c>
    </row>
    <row r="1720" spans="1:13">
      <c r="A1720" s="7">
        <v>45549</v>
      </c>
      <c r="B1720" s="8">
        <v>87.448782771537012</v>
      </c>
      <c r="E1720" s="13">
        <f>AVERAGE(E1719,E1723)</f>
        <v>89.424999999999997</v>
      </c>
      <c r="F1720" s="10">
        <f>AVERAGE($E$1463:E1720)</f>
        <v>87.675787306201542</v>
      </c>
      <c r="I1720" s="11">
        <f t="shared" si="46"/>
        <v>2894.1000000000004</v>
      </c>
      <c r="J1720" s="11">
        <v>-2000</v>
      </c>
      <c r="K1720" s="11">
        <v>-631</v>
      </c>
      <c r="L1720" s="11">
        <f t="shared" si="43"/>
        <v>-2631</v>
      </c>
      <c r="M1720" s="11">
        <f t="shared" si="44"/>
        <v>263.10000000000036</v>
      </c>
    </row>
    <row r="1721" spans="1:13">
      <c r="A1721" s="7">
        <v>45550</v>
      </c>
      <c r="B1721" s="8">
        <v>87.40711610487034</v>
      </c>
      <c r="E1721" s="13">
        <f>AVERAGE(E1720,E1724)</f>
        <v>88.762499999999989</v>
      </c>
      <c r="F1721" s="10">
        <f>AVERAGE($E$1463:E1721)</f>
        <v>87.679983108108104</v>
      </c>
      <c r="I1721" s="11">
        <f t="shared" si="46"/>
        <v>3180.1000000000004</v>
      </c>
      <c r="J1721" s="11">
        <v>-2000</v>
      </c>
      <c r="K1721" s="11">
        <v>-891</v>
      </c>
      <c r="L1721" s="11">
        <f t="shared" ref="L1721:L1784" si="47">SUM(J1721:K1721)</f>
        <v>-2891</v>
      </c>
      <c r="M1721" s="11">
        <f t="shared" ref="M1721:M1784" si="48">I1721+J1721+K1721</f>
        <v>289.10000000000036</v>
      </c>
    </row>
    <row r="1722" spans="1:13">
      <c r="A1722" s="7">
        <v>45551</v>
      </c>
      <c r="B1722" s="8">
        <v>87.365449438203669</v>
      </c>
      <c r="E1722" s="13">
        <v>90.7</v>
      </c>
      <c r="F1722" s="10">
        <f>AVERAGE($E$1463:E1722)</f>
        <v>87.691598557692302</v>
      </c>
      <c r="I1722" s="11">
        <f t="shared" si="46"/>
        <v>3077.8</v>
      </c>
      <c r="J1722" s="11">
        <v>-2000</v>
      </c>
      <c r="K1722" s="11">
        <v>-798</v>
      </c>
      <c r="L1722" s="11">
        <f t="shared" si="47"/>
        <v>-2798</v>
      </c>
      <c r="M1722" s="11">
        <f t="shared" si="48"/>
        <v>279.80000000000018</v>
      </c>
    </row>
    <row r="1723" spans="1:13">
      <c r="A1723" s="7">
        <v>45552</v>
      </c>
      <c r="B1723" s="8">
        <v>87.323782771536997</v>
      </c>
      <c r="E1723" s="13">
        <v>90</v>
      </c>
      <c r="F1723" s="10">
        <f>AVERAGE($E$1463:E1723)</f>
        <v>87.700443007662827</v>
      </c>
      <c r="I1723" s="11">
        <f t="shared" si="46"/>
        <v>4024.9000000000005</v>
      </c>
      <c r="J1723" s="11">
        <v>-2000</v>
      </c>
      <c r="K1723" s="11">
        <v>-1659</v>
      </c>
      <c r="L1723" s="11">
        <f t="shared" si="47"/>
        <v>-3659</v>
      </c>
      <c r="M1723" s="11">
        <f t="shared" si="48"/>
        <v>365.90000000000055</v>
      </c>
    </row>
    <row r="1724" spans="1:13">
      <c r="A1724" s="7">
        <v>45553</v>
      </c>
      <c r="B1724" s="8">
        <v>87.282116104870326</v>
      </c>
      <c r="E1724" s="13">
        <v>88.1</v>
      </c>
      <c r="F1724" s="10">
        <f>AVERAGE($E$1463:E1724)</f>
        <v>87.70196803435114</v>
      </c>
      <c r="I1724" s="11">
        <f t="shared" si="46"/>
        <v>3143.8</v>
      </c>
      <c r="J1724" s="11">
        <v>-2000</v>
      </c>
      <c r="K1724" s="11">
        <v>-858</v>
      </c>
      <c r="L1724" s="11">
        <f t="shared" si="47"/>
        <v>-2858</v>
      </c>
      <c r="M1724" s="11">
        <f t="shared" si="48"/>
        <v>285.80000000000018</v>
      </c>
    </row>
    <row r="1725" spans="1:13">
      <c r="A1725" s="7">
        <v>45554</v>
      </c>
      <c r="B1725" s="8">
        <v>87.240449438203655</v>
      </c>
      <c r="E1725" s="13">
        <v>88</v>
      </c>
      <c r="F1725" s="10">
        <f>AVERAGE($E$1463:E1725)</f>
        <v>87.703101235741443</v>
      </c>
      <c r="I1725" s="11">
        <f t="shared" si="46"/>
        <v>3253.8</v>
      </c>
      <c r="J1725" s="11">
        <v>-2000</v>
      </c>
      <c r="K1725" s="11">
        <v>-958</v>
      </c>
      <c r="L1725" s="11">
        <f t="shared" si="47"/>
        <v>-2958</v>
      </c>
      <c r="M1725" s="11">
        <f t="shared" si="48"/>
        <v>295.80000000000018</v>
      </c>
    </row>
    <row r="1726" spans="1:13">
      <c r="A1726" s="7">
        <v>45555</v>
      </c>
      <c r="B1726" s="8">
        <v>87.198782771536983</v>
      </c>
      <c r="E1726" s="13">
        <v>87.6</v>
      </c>
      <c r="F1726" s="10">
        <f>AVERAGE($E$1463:E1726)</f>
        <v>87.702710700757564</v>
      </c>
      <c r="I1726" s="11">
        <f t="shared" si="46"/>
        <v>2835.8</v>
      </c>
      <c r="J1726" s="11">
        <v>-2000</v>
      </c>
      <c r="K1726" s="11">
        <v>-578</v>
      </c>
      <c r="L1726" s="11">
        <f t="shared" si="47"/>
        <v>-2578</v>
      </c>
      <c r="M1726" s="11">
        <f t="shared" si="48"/>
        <v>257.80000000000018</v>
      </c>
    </row>
    <row r="1727" spans="1:13">
      <c r="A1727" s="7">
        <v>45556</v>
      </c>
      <c r="B1727" s="8">
        <v>87.157116104870312</v>
      </c>
      <c r="E1727" s="13">
        <v>87.4</v>
      </c>
      <c r="F1727" s="10">
        <f>AVERAGE($E$1463:E1727)</f>
        <v>87.701568396226406</v>
      </c>
      <c r="I1727" s="11">
        <f t="shared" si="46"/>
        <v>5190.9000000000005</v>
      </c>
      <c r="J1727" s="11">
        <v>-2000</v>
      </c>
      <c r="K1727" s="11">
        <v>-2719</v>
      </c>
      <c r="L1727" s="11">
        <f t="shared" si="47"/>
        <v>-4719</v>
      </c>
      <c r="M1727" s="11">
        <f t="shared" si="48"/>
        <v>471.90000000000055</v>
      </c>
    </row>
    <row r="1728" spans="1:13">
      <c r="A1728" s="7">
        <v>45557</v>
      </c>
      <c r="B1728" s="8">
        <v>87.11544943820364</v>
      </c>
      <c r="E1728" s="13">
        <v>88</v>
      </c>
      <c r="F1728" s="10">
        <f>AVERAGE($E$1463:E1728)</f>
        <v>87.702690319548864</v>
      </c>
      <c r="I1728" s="11">
        <f t="shared" si="46"/>
        <v>3131.7000000000003</v>
      </c>
      <c r="J1728" s="11">
        <v>-2000</v>
      </c>
      <c r="K1728" s="11">
        <v>-847</v>
      </c>
      <c r="L1728" s="11">
        <f t="shared" si="47"/>
        <v>-2847</v>
      </c>
      <c r="M1728" s="11">
        <f t="shared" si="48"/>
        <v>284.70000000000027</v>
      </c>
    </row>
    <row r="1729" spans="1:13">
      <c r="A1729" s="7">
        <v>45558</v>
      </c>
      <c r="B1729" s="8">
        <v>87.073782771536969</v>
      </c>
      <c r="E1729" s="13">
        <v>88.4</v>
      </c>
      <c r="F1729" s="10">
        <f>AVERAGE($E$1463:E1729)</f>
        <v>87.705301966292126</v>
      </c>
      <c r="I1729" s="11">
        <f t="shared" si="46"/>
        <v>3201.0000000000005</v>
      </c>
      <c r="J1729" s="11">
        <v>-2000</v>
      </c>
      <c r="K1729" s="11">
        <v>-910</v>
      </c>
      <c r="L1729" s="11">
        <f t="shared" si="47"/>
        <v>-2910</v>
      </c>
      <c r="M1729" s="11">
        <f t="shared" si="48"/>
        <v>291.00000000000045</v>
      </c>
    </row>
    <row r="1730" spans="1:13">
      <c r="A1730" s="7">
        <v>45559</v>
      </c>
      <c r="B1730" s="8">
        <v>87.032116104870298</v>
      </c>
      <c r="E1730" s="13">
        <v>87.4</v>
      </c>
      <c r="F1730" s="10">
        <f>AVERAGE($E$1463:E1730)</f>
        <v>87.704162779850748</v>
      </c>
      <c r="I1730" s="11">
        <f t="shared" si="46"/>
        <v>3172.4</v>
      </c>
      <c r="J1730" s="11">
        <v>-2000</v>
      </c>
      <c r="K1730" s="11">
        <v>-884</v>
      </c>
      <c r="L1730" s="11">
        <f t="shared" si="47"/>
        <v>-2884</v>
      </c>
      <c r="M1730" s="11">
        <f t="shared" si="48"/>
        <v>288.40000000000009</v>
      </c>
    </row>
    <row r="1731" spans="1:13">
      <c r="A1731" s="7">
        <v>45560</v>
      </c>
      <c r="B1731" s="8">
        <v>86.990449438203626</v>
      </c>
      <c r="E1731" s="13">
        <v>86.9</v>
      </c>
      <c r="F1731" s="10">
        <f>AVERAGE($E$1463:E1731)</f>
        <v>87.701173327137553</v>
      </c>
      <c r="I1731" s="11">
        <f t="shared" si="46"/>
        <v>3071.2000000000003</v>
      </c>
      <c r="J1731" s="11">
        <v>-2000</v>
      </c>
      <c r="K1731" s="11">
        <v>-792</v>
      </c>
      <c r="L1731" s="11">
        <f t="shared" si="47"/>
        <v>-2792</v>
      </c>
      <c r="M1731" s="11">
        <f t="shared" si="48"/>
        <v>279.20000000000027</v>
      </c>
    </row>
    <row r="1732" spans="1:13">
      <c r="A1732" s="7">
        <v>45561</v>
      </c>
      <c r="B1732" s="8">
        <v>86.948782771536955</v>
      </c>
      <c r="E1732" s="13">
        <v>87.4</v>
      </c>
      <c r="F1732" s="10">
        <f>AVERAGE($E$1463:E1732)</f>
        <v>87.700057870370387</v>
      </c>
      <c r="I1732" s="11">
        <f t="shared" si="46"/>
        <v>3139.4</v>
      </c>
      <c r="J1732" s="11">
        <v>-2000</v>
      </c>
      <c r="K1732" s="11">
        <v>-854</v>
      </c>
      <c r="L1732" s="11">
        <f t="shared" si="47"/>
        <v>-2854</v>
      </c>
      <c r="M1732" s="11">
        <f t="shared" si="48"/>
        <v>285.40000000000009</v>
      </c>
    </row>
    <row r="1733" spans="1:13">
      <c r="A1733" s="7">
        <v>45562</v>
      </c>
      <c r="B1733" s="8">
        <v>86.907116104870283</v>
      </c>
      <c r="E1733" s="13">
        <f>AVERAGE(E1732,E1736)</f>
        <v>88.050000000000011</v>
      </c>
      <c r="F1733" s="10">
        <f>AVERAGE($E$1463:E1733)</f>
        <v>87.701349169741704</v>
      </c>
      <c r="I1733" s="11">
        <f t="shared" si="46"/>
        <v>3053.6000000000004</v>
      </c>
      <c r="J1733" s="11">
        <v>-2000</v>
      </c>
      <c r="K1733" s="11">
        <v>-776</v>
      </c>
      <c r="L1733" s="11">
        <f t="shared" si="47"/>
        <v>-2776</v>
      </c>
      <c r="M1733" s="11">
        <f t="shared" si="48"/>
        <v>277.60000000000036</v>
      </c>
    </row>
    <row r="1734" spans="1:13">
      <c r="A1734" s="7">
        <v>45563</v>
      </c>
      <c r="B1734" s="8">
        <v>86.865449438203612</v>
      </c>
      <c r="E1734" s="13">
        <f>AVERAGE(E1733,E1737)</f>
        <v>88.125</v>
      </c>
      <c r="F1734" s="10">
        <f>AVERAGE($E$1463:E1734)</f>
        <v>87.702906709558832</v>
      </c>
      <c r="I1734" s="11">
        <f t="shared" si="46"/>
        <v>3289.0000000000005</v>
      </c>
      <c r="J1734" s="11">
        <v>-2000</v>
      </c>
      <c r="K1734" s="11">
        <v>-990</v>
      </c>
      <c r="L1734" s="11">
        <f t="shared" si="47"/>
        <v>-2990</v>
      </c>
      <c r="M1734" s="11">
        <f t="shared" si="48"/>
        <v>299.00000000000045</v>
      </c>
    </row>
    <row r="1735" spans="1:13">
      <c r="A1735" s="7">
        <v>45564</v>
      </c>
      <c r="B1735" s="8">
        <v>86.823782771536941</v>
      </c>
      <c r="E1735" s="13">
        <v>87.7</v>
      </c>
      <c r="F1735" s="10">
        <f>AVERAGE($E$1463:E1735)</f>
        <v>87.70289606227108</v>
      </c>
      <c r="I1735" s="11">
        <f t="shared" si="46"/>
        <v>3238.4</v>
      </c>
      <c r="J1735" s="11">
        <v>-2000</v>
      </c>
      <c r="K1735" s="11">
        <v>-944</v>
      </c>
      <c r="L1735" s="11">
        <f t="shared" si="47"/>
        <v>-2944</v>
      </c>
      <c r="M1735" s="11">
        <f t="shared" si="48"/>
        <v>294.40000000000009</v>
      </c>
    </row>
    <row r="1736" spans="1:13">
      <c r="A1736" s="7">
        <v>45565</v>
      </c>
      <c r="B1736" s="8">
        <v>86.782116104870269</v>
      </c>
      <c r="E1736" s="13">
        <v>88.7</v>
      </c>
      <c r="F1736" s="10">
        <f>AVERAGE($E$1463:E1736)</f>
        <v>87.70653512773724</v>
      </c>
      <c r="I1736" s="11">
        <f t="shared" si="46"/>
        <v>3322.0000000000005</v>
      </c>
      <c r="J1736" s="11">
        <v>-2000</v>
      </c>
      <c r="K1736" s="11">
        <v>-1020</v>
      </c>
      <c r="L1736" s="11">
        <f t="shared" si="47"/>
        <v>-3020</v>
      </c>
      <c r="M1736" s="11">
        <f t="shared" si="48"/>
        <v>302.00000000000045</v>
      </c>
    </row>
    <row r="1737" spans="1:13">
      <c r="A1737" s="7">
        <v>45566</v>
      </c>
      <c r="B1737" s="8">
        <v>86.740449438203598</v>
      </c>
      <c r="E1737" s="13">
        <v>88.2</v>
      </c>
      <c r="F1737" s="10">
        <f>AVERAGE($E$1463:E1737)</f>
        <v>87.708329545454561</v>
      </c>
      <c r="I1737" s="11">
        <f t="shared" si="46"/>
        <v>3215.3</v>
      </c>
      <c r="J1737" s="11">
        <v>-2000</v>
      </c>
      <c r="K1737" s="11">
        <v>-923</v>
      </c>
      <c r="L1737" s="11">
        <f t="shared" si="47"/>
        <v>-2923</v>
      </c>
      <c r="M1737" s="11">
        <f t="shared" si="48"/>
        <v>292.30000000000018</v>
      </c>
    </row>
    <row r="1738" spans="1:13">
      <c r="A1738" s="7">
        <v>45567</v>
      </c>
      <c r="B1738" s="8">
        <v>86.698782771536926</v>
      </c>
      <c r="E1738" s="13">
        <v>88.7</v>
      </c>
      <c r="F1738" s="10">
        <f>AVERAGE($E$1463:E1738)</f>
        <v>87.711922554347851</v>
      </c>
      <c r="I1738" s="11">
        <f t="shared" si="46"/>
        <v>3133.9</v>
      </c>
      <c r="J1738" s="11">
        <v>-2000</v>
      </c>
      <c r="K1738" s="11">
        <v>-849</v>
      </c>
      <c r="L1738" s="11">
        <f t="shared" si="47"/>
        <v>-2849</v>
      </c>
      <c r="M1738" s="11">
        <f t="shared" si="48"/>
        <v>284.90000000000009</v>
      </c>
    </row>
    <row r="1739" spans="1:13">
      <c r="A1739" s="7">
        <v>45568</v>
      </c>
      <c r="B1739" s="8">
        <v>86.657116104870255</v>
      </c>
      <c r="E1739" s="13">
        <v>88.2</v>
      </c>
      <c r="F1739" s="10">
        <f>AVERAGE($E$1463:E1739)</f>
        <v>87.713684566787023</v>
      </c>
      <c r="I1739" s="11">
        <f t="shared" si="46"/>
        <v>3319.8</v>
      </c>
      <c r="J1739" s="11">
        <v>-2000</v>
      </c>
      <c r="K1739" s="11">
        <v>-1018</v>
      </c>
      <c r="L1739" s="11">
        <f t="shared" si="47"/>
        <v>-3018</v>
      </c>
      <c r="M1739" s="11">
        <f t="shared" si="48"/>
        <v>301.80000000000018</v>
      </c>
    </row>
    <row r="1740" spans="1:13">
      <c r="A1740" s="7">
        <v>45569</v>
      </c>
      <c r="B1740" s="8">
        <v>86.615449438203584</v>
      </c>
      <c r="E1740" s="13">
        <v>88.3</v>
      </c>
      <c r="F1740" s="10">
        <f>AVERAGE($E$1463:E1740)</f>
        <v>87.715793615107941</v>
      </c>
      <c r="I1740" s="11">
        <f t="shared" si="46"/>
        <v>2979.9</v>
      </c>
      <c r="J1740" s="11">
        <v>-2000</v>
      </c>
      <c r="K1740" s="11">
        <v>-709</v>
      </c>
      <c r="L1740" s="11">
        <f t="shared" si="47"/>
        <v>-2709</v>
      </c>
      <c r="M1740" s="11">
        <f t="shared" si="48"/>
        <v>270.90000000000009</v>
      </c>
    </row>
    <row r="1741" spans="1:13">
      <c r="A1741" s="7">
        <v>45570</v>
      </c>
      <c r="B1741" s="8">
        <v>86.573782771536912</v>
      </c>
      <c r="E1741" s="13">
        <v>88.8</v>
      </c>
      <c r="F1741" s="10">
        <f>AVERAGE($E$1463:E1741)</f>
        <v>87.719679659498226</v>
      </c>
      <c r="I1741" s="11">
        <f t="shared" si="46"/>
        <v>2933.7000000000003</v>
      </c>
      <c r="J1741" s="11">
        <v>-2000</v>
      </c>
      <c r="K1741" s="11">
        <v>-667</v>
      </c>
      <c r="L1741" s="11">
        <f t="shared" si="47"/>
        <v>-2667</v>
      </c>
      <c r="M1741" s="11">
        <f t="shared" si="48"/>
        <v>266.70000000000027</v>
      </c>
    </row>
    <row r="1742" spans="1:13">
      <c r="A1742" s="7">
        <v>45571</v>
      </c>
      <c r="B1742" s="8">
        <v>86.532116104870241</v>
      </c>
      <c r="E1742" s="13">
        <v>89.3</v>
      </c>
      <c r="F1742" s="10">
        <f>AVERAGE($E$1463:E1742)</f>
        <v>87.725323660714295</v>
      </c>
      <c r="I1742" s="11">
        <f t="shared" si="46"/>
        <v>3323.1000000000004</v>
      </c>
      <c r="J1742" s="11">
        <v>-2000</v>
      </c>
      <c r="K1742" s="11">
        <v>-1021</v>
      </c>
      <c r="L1742" s="11">
        <f t="shared" si="47"/>
        <v>-3021</v>
      </c>
      <c r="M1742" s="11">
        <f t="shared" si="48"/>
        <v>302.10000000000036</v>
      </c>
    </row>
    <row r="1743" spans="1:13">
      <c r="A1743" s="7">
        <v>45572</v>
      </c>
      <c r="B1743" s="8">
        <v>86.490449438203569</v>
      </c>
      <c r="E1743" s="13">
        <v>89.6</v>
      </c>
      <c r="F1743" s="10">
        <f>AVERAGE($E$1463:E1743)</f>
        <v>87.731995106761573</v>
      </c>
      <c r="I1743" s="11">
        <v>1961</v>
      </c>
      <c r="J1743" s="11">
        <v>-2000</v>
      </c>
      <c r="K1743" s="11">
        <v>-812</v>
      </c>
      <c r="L1743" s="11">
        <f t="shared" si="47"/>
        <v>-2812</v>
      </c>
      <c r="M1743" s="11">
        <f t="shared" si="48"/>
        <v>-851</v>
      </c>
    </row>
    <row r="1744" spans="1:13">
      <c r="A1744" s="7">
        <v>45573</v>
      </c>
      <c r="B1744" s="8">
        <v>86.448782771536898</v>
      </c>
      <c r="E1744" s="13">
        <v>89.4</v>
      </c>
      <c r="F1744" s="10">
        <f>AVERAGE($E$1463:E1744)</f>
        <v>87.737910017730513</v>
      </c>
      <c r="I1744" s="11">
        <v>2405</v>
      </c>
      <c r="J1744" s="11">
        <v>-2000</v>
      </c>
      <c r="K1744" s="11">
        <v>-1156</v>
      </c>
      <c r="L1744" s="11">
        <f t="shared" si="47"/>
        <v>-3156</v>
      </c>
      <c r="M1744" s="11">
        <f t="shared" si="48"/>
        <v>-751</v>
      </c>
    </row>
    <row r="1745" spans="1:13">
      <c r="A1745" s="7">
        <v>45574</v>
      </c>
      <c r="B1745" s="8">
        <v>86.407116104870227</v>
      </c>
      <c r="E1745" s="13">
        <v>88.8</v>
      </c>
      <c r="F1745" s="10">
        <f>AVERAGE($E$1463:E1745)</f>
        <v>87.74166298586573</v>
      </c>
      <c r="I1745" s="11">
        <v>2749</v>
      </c>
      <c r="J1745" s="11">
        <v>-2000</v>
      </c>
      <c r="K1745" s="11">
        <v>-981</v>
      </c>
      <c r="L1745" s="11">
        <f t="shared" si="47"/>
        <v>-2981</v>
      </c>
      <c r="M1745" s="11">
        <f t="shared" si="48"/>
        <v>-232</v>
      </c>
    </row>
    <row r="1746" spans="1:13">
      <c r="A1746" s="7">
        <v>45575</v>
      </c>
      <c r="B1746" s="8">
        <v>86.365449438203555</v>
      </c>
      <c r="E1746" s="13">
        <v>88.2</v>
      </c>
      <c r="F1746" s="10">
        <f>AVERAGE($E$1463:E1746)</f>
        <v>87.743276848591563</v>
      </c>
      <c r="I1746" s="11">
        <v>3345</v>
      </c>
      <c r="J1746" s="11">
        <v>-2000</v>
      </c>
      <c r="K1746" s="11">
        <v>-166</v>
      </c>
      <c r="L1746" s="11">
        <f t="shared" si="47"/>
        <v>-2166</v>
      </c>
      <c r="M1746" s="11">
        <f t="shared" si="48"/>
        <v>1179</v>
      </c>
    </row>
    <row r="1747" spans="1:13">
      <c r="A1747" s="7">
        <v>45576</v>
      </c>
      <c r="B1747" s="8">
        <v>86.323782771536884</v>
      </c>
      <c r="E1747" s="13">
        <v>86.7</v>
      </c>
      <c r="F1747" s="10">
        <f>AVERAGE($E$1463:E1747)</f>
        <v>87.73961622807019</v>
      </c>
      <c r="I1747" s="11">
        <v>2518</v>
      </c>
      <c r="J1747" s="11">
        <v>-2000</v>
      </c>
      <c r="K1747" s="11">
        <v>-523</v>
      </c>
      <c r="L1747" s="11">
        <f t="shared" si="47"/>
        <v>-2523</v>
      </c>
      <c r="M1747" s="11">
        <f t="shared" si="48"/>
        <v>-5</v>
      </c>
    </row>
    <row r="1748" spans="1:13">
      <c r="A1748" s="7">
        <v>45577</v>
      </c>
      <c r="B1748" s="8">
        <v>86.282116104870212</v>
      </c>
      <c r="E1748" s="13">
        <v>89</v>
      </c>
      <c r="F1748" s="10">
        <f>AVERAGE($E$1463:E1748)</f>
        <v>87.744023164335687</v>
      </c>
      <c r="I1748" s="11">
        <v>2251</v>
      </c>
      <c r="J1748" s="11">
        <v>-2000</v>
      </c>
      <c r="K1748" s="11">
        <v>-1497</v>
      </c>
      <c r="L1748" s="11">
        <f t="shared" si="47"/>
        <v>-3497</v>
      </c>
      <c r="M1748" s="11">
        <f t="shared" si="48"/>
        <v>-1246</v>
      </c>
    </row>
    <row r="1749" spans="1:13">
      <c r="A1749" s="7">
        <v>45578</v>
      </c>
      <c r="B1749" s="8">
        <v>86.240449438203541</v>
      </c>
      <c r="E1749" s="13">
        <v>89</v>
      </c>
      <c r="F1749" s="10">
        <f>AVERAGE($E$1463:E1749)</f>
        <v>87.748399390243918</v>
      </c>
      <c r="I1749" s="11">
        <v>2148</v>
      </c>
      <c r="J1749" s="11">
        <v>-2000</v>
      </c>
      <c r="K1749" s="11">
        <v>-894</v>
      </c>
      <c r="L1749" s="11">
        <f t="shared" si="47"/>
        <v>-2894</v>
      </c>
      <c r="M1749" s="11">
        <f t="shared" si="48"/>
        <v>-746</v>
      </c>
    </row>
    <row r="1750" spans="1:13">
      <c r="A1750" s="7">
        <v>45579</v>
      </c>
      <c r="B1750" s="8">
        <v>86.19878277153687</v>
      </c>
      <c r="E1750" s="13">
        <v>88.9</v>
      </c>
      <c r="F1750" s="10">
        <f>AVERAGE($E$1463:E1750)</f>
        <v>87.752398003472251</v>
      </c>
      <c r="I1750" s="11">
        <v>2651</v>
      </c>
      <c r="J1750" s="11">
        <v>-2000</v>
      </c>
      <c r="K1750" s="11">
        <v>-1066</v>
      </c>
      <c r="L1750" s="11">
        <f t="shared" si="47"/>
        <v>-3066</v>
      </c>
      <c r="M1750" s="11">
        <f t="shared" si="48"/>
        <v>-415</v>
      </c>
    </row>
    <row r="1751" spans="1:13">
      <c r="A1751" s="7">
        <v>45580</v>
      </c>
      <c r="B1751" s="8">
        <v>86.157116104870198</v>
      </c>
      <c r="E1751" s="13">
        <v>88.2</v>
      </c>
      <c r="F1751" s="10">
        <f>AVERAGE($E$1463:E1751)</f>
        <v>87.753946799307982</v>
      </c>
      <c r="I1751" s="11">
        <v>2675</v>
      </c>
      <c r="J1751" s="11">
        <v>-2000</v>
      </c>
      <c r="K1751" s="11">
        <v>-1042</v>
      </c>
      <c r="L1751" s="11">
        <f t="shared" si="47"/>
        <v>-3042</v>
      </c>
      <c r="M1751" s="11">
        <f t="shared" si="48"/>
        <v>-367</v>
      </c>
    </row>
    <row r="1752" spans="1:13">
      <c r="A1752" s="7">
        <v>45581</v>
      </c>
      <c r="B1752" s="8">
        <v>86.115449438203527</v>
      </c>
      <c r="E1752" s="13">
        <v>88.5</v>
      </c>
      <c r="F1752" s="10">
        <f>AVERAGE($E$1463:E1752)</f>
        <v>87.756519396551752</v>
      </c>
      <c r="I1752" s="11">
        <v>2512</v>
      </c>
      <c r="J1752" s="11">
        <v>-2000</v>
      </c>
      <c r="K1752" s="11">
        <v>-1027</v>
      </c>
      <c r="L1752" s="11">
        <f t="shared" si="47"/>
        <v>-3027</v>
      </c>
      <c r="M1752" s="11">
        <f t="shared" si="48"/>
        <v>-515</v>
      </c>
    </row>
    <row r="1753" spans="1:13">
      <c r="A1753" s="7">
        <v>45582</v>
      </c>
      <c r="B1753" s="8">
        <v>86.073782771536855</v>
      </c>
      <c r="E1753" s="13">
        <v>88.7</v>
      </c>
      <c r="F1753" s="10">
        <f>AVERAGE($E$1463:E1753)</f>
        <v>87.759761597938166</v>
      </c>
      <c r="I1753" s="11">
        <v>2449</v>
      </c>
      <c r="J1753" s="11">
        <v>-2000</v>
      </c>
      <c r="K1753" s="11">
        <v>-967</v>
      </c>
      <c r="L1753" s="11">
        <f t="shared" si="47"/>
        <v>-2967</v>
      </c>
      <c r="M1753" s="11">
        <f t="shared" si="48"/>
        <v>-518</v>
      </c>
    </row>
    <row r="1754" spans="1:13">
      <c r="A1754" s="7">
        <v>45583</v>
      </c>
      <c r="B1754" s="8">
        <v>86.032116104870184</v>
      </c>
      <c r="E1754" s="13">
        <v>88.3</v>
      </c>
      <c r="F1754" s="10">
        <f>AVERAGE($E$1463:E1754)</f>
        <v>87.761611729452085</v>
      </c>
      <c r="I1754" s="11">
        <v>3219</v>
      </c>
      <c r="J1754" s="11">
        <v>-2000</v>
      </c>
      <c r="K1754" s="11">
        <v>-674</v>
      </c>
      <c r="L1754" s="11">
        <f t="shared" si="47"/>
        <v>-2674</v>
      </c>
      <c r="M1754" s="11">
        <f t="shared" si="48"/>
        <v>545</v>
      </c>
    </row>
    <row r="1755" spans="1:13">
      <c r="A1755" s="7">
        <v>45584</v>
      </c>
      <c r="B1755" s="8">
        <v>85.990449438203512</v>
      </c>
      <c r="E1755" s="13">
        <v>88.3</v>
      </c>
      <c r="F1755" s="10">
        <f>AVERAGE($E$1463:E1755)</f>
        <v>87.763449232081939</v>
      </c>
      <c r="I1755" s="11">
        <v>3560</v>
      </c>
      <c r="J1755" s="11">
        <v>-2000</v>
      </c>
      <c r="K1755" s="11">
        <v>-662</v>
      </c>
      <c r="L1755" s="11">
        <f t="shared" si="47"/>
        <v>-2662</v>
      </c>
      <c r="M1755" s="11">
        <f t="shared" si="48"/>
        <v>898</v>
      </c>
    </row>
    <row r="1756" spans="1:13">
      <c r="A1756" s="7">
        <v>45585</v>
      </c>
      <c r="B1756" s="8">
        <v>85.948782771536841</v>
      </c>
      <c r="E1756" s="13">
        <v>88.2</v>
      </c>
      <c r="F1756" s="10">
        <f>AVERAGE($E$1463:E1756)</f>
        <v>87.764934098639486</v>
      </c>
      <c r="I1756" s="11">
        <v>5000</v>
      </c>
      <c r="J1756" s="11">
        <v>-2000</v>
      </c>
      <c r="K1756" s="11">
        <v>-5176</v>
      </c>
      <c r="L1756" s="11">
        <f t="shared" si="47"/>
        <v>-7176</v>
      </c>
      <c r="M1756" s="11">
        <f t="shared" si="48"/>
        <v>-2176</v>
      </c>
    </row>
    <row r="1757" spans="1:13">
      <c r="A1757" s="7">
        <v>45586</v>
      </c>
      <c r="B1757" s="8">
        <v>85.90711610487017</v>
      </c>
      <c r="E1757" s="13">
        <v>88</v>
      </c>
      <c r="F1757" s="10">
        <f>AVERAGE($E$1463:E1757)</f>
        <v>87.765730932203411</v>
      </c>
      <c r="I1757" s="11">
        <v>2217</v>
      </c>
      <c r="J1757" s="11">
        <v>-2000</v>
      </c>
      <c r="K1757" s="11">
        <v>-769</v>
      </c>
      <c r="L1757" s="11">
        <f t="shared" si="47"/>
        <v>-2769</v>
      </c>
      <c r="M1757" s="11">
        <f t="shared" si="48"/>
        <v>-552</v>
      </c>
    </row>
    <row r="1758" spans="1:13">
      <c r="A1758" s="7">
        <v>45587</v>
      </c>
      <c r="B1758" s="8">
        <v>85.865449438203498</v>
      </c>
      <c r="E1758" s="13">
        <v>89</v>
      </c>
      <c r="F1758" s="10">
        <f>AVERAGE($E$1463:E1758)</f>
        <v>87.769900760135158</v>
      </c>
      <c r="I1758" s="11">
        <v>1930</v>
      </c>
      <c r="J1758" s="11">
        <v>-2000</v>
      </c>
      <c r="K1758" s="11">
        <v>-1116</v>
      </c>
      <c r="L1758" s="11">
        <f t="shared" si="47"/>
        <v>-3116</v>
      </c>
      <c r="M1758" s="11">
        <f t="shared" si="48"/>
        <v>-1186</v>
      </c>
    </row>
    <row r="1759" spans="1:13">
      <c r="A1759" s="7">
        <v>45588</v>
      </c>
      <c r="B1759" s="8">
        <v>85.823782771536827</v>
      </c>
      <c r="E1759" s="13">
        <v>88.3</v>
      </c>
      <c r="F1759" s="10">
        <f>AVERAGE($E$1463:E1759)</f>
        <v>87.771685606060629</v>
      </c>
      <c r="I1759" s="11">
        <v>1730</v>
      </c>
      <c r="J1759" s="11">
        <v>-2000</v>
      </c>
      <c r="K1759" s="11">
        <v>-777</v>
      </c>
      <c r="L1759" s="11">
        <f t="shared" si="47"/>
        <v>-2777</v>
      </c>
      <c r="M1759" s="11">
        <f t="shared" si="48"/>
        <v>-1047</v>
      </c>
    </row>
    <row r="1760" spans="1:13">
      <c r="A1760" s="7">
        <v>45589</v>
      </c>
      <c r="B1760" s="8">
        <v>85.782116104870155</v>
      </c>
      <c r="E1760" s="13">
        <v>87.7</v>
      </c>
      <c r="F1760" s="10">
        <f>AVERAGE($E$1463:E1760)</f>
        <v>87.771445050335601</v>
      </c>
      <c r="I1760" s="11">
        <v>2194</v>
      </c>
      <c r="J1760" s="11">
        <v>-2000</v>
      </c>
      <c r="K1760" s="11">
        <v>-1135</v>
      </c>
      <c r="L1760" s="11">
        <f t="shared" si="47"/>
        <v>-3135</v>
      </c>
      <c r="M1760" s="11">
        <f t="shared" si="48"/>
        <v>-941</v>
      </c>
    </row>
    <row r="1761" spans="1:13">
      <c r="A1761" s="7">
        <v>45590</v>
      </c>
      <c r="B1761" s="8">
        <v>85.740449438203484</v>
      </c>
      <c r="E1761" s="13">
        <v>89</v>
      </c>
      <c r="F1761" s="10">
        <f>AVERAGE($E$1463:E1761)</f>
        <v>87.775553929765906</v>
      </c>
      <c r="I1761" s="11">
        <v>2500</v>
      </c>
      <c r="J1761" s="11">
        <v>-2000</v>
      </c>
      <c r="K1761" s="11">
        <v>-725</v>
      </c>
      <c r="L1761" s="11">
        <f t="shared" si="47"/>
        <v>-2725</v>
      </c>
      <c r="M1761" s="11">
        <f t="shared" si="48"/>
        <v>-225</v>
      </c>
    </row>
    <row r="1762" spans="1:13">
      <c r="A1762" s="7">
        <v>45591</v>
      </c>
      <c r="B1762" s="8">
        <v>85.698782771536813</v>
      </c>
      <c r="E1762" s="13">
        <v>89.3</v>
      </c>
      <c r="F1762" s="10">
        <f>AVERAGE($E$1463:E1762)</f>
        <v>87.780635416666684</v>
      </c>
      <c r="I1762" s="11">
        <v>3297</v>
      </c>
      <c r="J1762" s="11">
        <v>-2000</v>
      </c>
      <c r="K1762" s="11">
        <v>-666</v>
      </c>
      <c r="L1762" s="11">
        <f t="shared" si="47"/>
        <v>-2666</v>
      </c>
      <c r="M1762" s="11">
        <f t="shared" si="48"/>
        <v>631</v>
      </c>
    </row>
    <row r="1763" spans="1:13">
      <c r="A1763" s="7">
        <v>45592</v>
      </c>
      <c r="B1763" s="8">
        <v>85.657116104870141</v>
      </c>
      <c r="E1763" s="13">
        <f>AVERAGE(E1762,E1764)</f>
        <v>89</v>
      </c>
      <c r="F1763" s="10">
        <f>AVERAGE($E$1463:E1763)</f>
        <v>87.784686461794038</v>
      </c>
      <c r="I1763" s="11">
        <v>1749</v>
      </c>
      <c r="J1763" s="11">
        <v>-2000</v>
      </c>
      <c r="K1763" s="11">
        <v>-776</v>
      </c>
      <c r="L1763" s="11">
        <f t="shared" si="47"/>
        <v>-2776</v>
      </c>
      <c r="M1763" s="11">
        <f t="shared" si="48"/>
        <v>-1027</v>
      </c>
    </row>
    <row r="1764" spans="1:13">
      <c r="A1764" s="7">
        <v>45593</v>
      </c>
      <c r="B1764" s="8">
        <v>85.61544943820347</v>
      </c>
      <c r="E1764" s="13">
        <v>88.7</v>
      </c>
      <c r="F1764" s="10">
        <f>AVERAGE($E$1463:E1764)</f>
        <v>87.787717301324534</v>
      </c>
      <c r="I1764" s="11">
        <v>2000</v>
      </c>
      <c r="J1764" s="11">
        <v>-2000</v>
      </c>
      <c r="K1764" s="11">
        <v>-759</v>
      </c>
      <c r="L1764" s="11">
        <f t="shared" si="47"/>
        <v>-2759</v>
      </c>
      <c r="M1764" s="11">
        <f t="shared" si="48"/>
        <v>-759</v>
      </c>
    </row>
    <row r="1765" spans="1:13">
      <c r="A1765" s="7">
        <v>45594</v>
      </c>
      <c r="B1765" s="8">
        <v>85.573782771536798</v>
      </c>
      <c r="E1765" s="13">
        <v>87.9</v>
      </c>
      <c r="F1765" s="10">
        <f>AVERAGE($E$1463:E1765)</f>
        <v>87.788087871287161</v>
      </c>
      <c r="I1765" s="11">
        <v>2112</v>
      </c>
      <c r="J1765" s="11">
        <v>-2000</v>
      </c>
      <c r="K1765" s="11">
        <v>-802</v>
      </c>
      <c r="L1765" s="11">
        <f t="shared" si="47"/>
        <v>-2802</v>
      </c>
      <c r="M1765" s="11">
        <f t="shared" si="48"/>
        <v>-690</v>
      </c>
    </row>
    <row r="1766" spans="1:13">
      <c r="A1766" s="7">
        <v>45595</v>
      </c>
      <c r="B1766" s="8">
        <v>85.532116104870127</v>
      </c>
      <c r="E1766" s="13">
        <f>AVERAGE(E1765,E1767)</f>
        <v>87.6</v>
      </c>
      <c r="F1766" s="10">
        <f>AVERAGE($E$1463:E1766)</f>
        <v>87.787469161184234</v>
      </c>
      <c r="I1766" s="11">
        <v>1727</v>
      </c>
      <c r="J1766" s="11">
        <v>-2000</v>
      </c>
      <c r="K1766" s="11">
        <v>-913</v>
      </c>
      <c r="L1766" s="11">
        <f t="shared" si="47"/>
        <v>-2913</v>
      </c>
      <c r="M1766" s="11">
        <f t="shared" si="48"/>
        <v>-1186</v>
      </c>
    </row>
    <row r="1767" spans="1:13">
      <c r="A1767" s="7">
        <v>45596</v>
      </c>
      <c r="B1767" s="8">
        <v>85.490449438203456</v>
      </c>
      <c r="E1767" s="13">
        <v>87.3</v>
      </c>
      <c r="F1767" s="10">
        <f>AVERAGE($E$1463:E1767)</f>
        <v>87.78587090163937</v>
      </c>
      <c r="I1767" s="11">
        <v>2185</v>
      </c>
      <c r="J1767" s="11">
        <v>-2000</v>
      </c>
      <c r="K1767" s="11">
        <v>-787</v>
      </c>
      <c r="L1767" s="11">
        <f t="shared" si="47"/>
        <v>-2787</v>
      </c>
      <c r="M1767" s="11">
        <f t="shared" si="48"/>
        <v>-602</v>
      </c>
    </row>
    <row r="1768" spans="1:13">
      <c r="A1768" s="7">
        <v>45597</v>
      </c>
      <c r="B1768" s="8">
        <v>85.448782771536784</v>
      </c>
      <c r="E1768" s="13">
        <f>AVERAGE(E1767,E1769)</f>
        <v>87.65</v>
      </c>
      <c r="F1768" s="10">
        <f>AVERAGE($E$1463:E1768)</f>
        <v>87.785426879084994</v>
      </c>
      <c r="I1768" s="11">
        <v>3015</v>
      </c>
      <c r="J1768" s="11">
        <v>-2000</v>
      </c>
      <c r="K1768" s="11">
        <v>-2669</v>
      </c>
      <c r="L1768" s="11">
        <f t="shared" si="47"/>
        <v>-4669</v>
      </c>
      <c r="M1768" s="11">
        <f t="shared" si="48"/>
        <v>-1654</v>
      </c>
    </row>
    <row r="1769" spans="1:13">
      <c r="A1769" s="7">
        <v>45598</v>
      </c>
      <c r="B1769" s="8">
        <v>85.407116104870113</v>
      </c>
      <c r="E1769" s="13">
        <v>88</v>
      </c>
      <c r="F1769" s="10">
        <f>AVERAGE($E$1463:E1769)</f>
        <v>87.78612581433228</v>
      </c>
      <c r="I1769" s="11">
        <v>2994</v>
      </c>
      <c r="J1769" s="11">
        <v>-2000</v>
      </c>
      <c r="K1769" s="11">
        <v>-540</v>
      </c>
      <c r="L1769" s="11">
        <f t="shared" si="47"/>
        <v>-2540</v>
      </c>
      <c r="M1769" s="11">
        <f t="shared" si="48"/>
        <v>454</v>
      </c>
    </row>
    <row r="1770" spans="1:13">
      <c r="A1770" s="7">
        <v>45599</v>
      </c>
      <c r="B1770" s="8">
        <v>85.365449438203441</v>
      </c>
      <c r="E1770" s="13">
        <v>88.7</v>
      </c>
      <c r="F1770" s="10">
        <f>AVERAGE($E$1463:E1770)</f>
        <v>87.789092938311711</v>
      </c>
      <c r="I1770" s="11">
        <v>2252</v>
      </c>
      <c r="J1770" s="11">
        <v>-2000</v>
      </c>
      <c r="K1770" s="11">
        <v>-872</v>
      </c>
      <c r="L1770" s="11">
        <f t="shared" si="47"/>
        <v>-2872</v>
      </c>
      <c r="M1770" s="11">
        <f t="shared" si="48"/>
        <v>-620</v>
      </c>
    </row>
    <row r="1771" spans="1:13">
      <c r="A1771" s="7">
        <v>45600</v>
      </c>
      <c r="B1771" s="8">
        <v>85.32378277153677</v>
      </c>
      <c r="E1771" s="13">
        <f>AVERAGE(E1770,E1772)</f>
        <v>88.7</v>
      </c>
      <c r="F1771" s="10">
        <f>AVERAGE($E$1463:E1771)</f>
        <v>87.792040857605215</v>
      </c>
      <c r="I1771" s="11">
        <v>2288</v>
      </c>
      <c r="J1771" s="11">
        <v>-2000</v>
      </c>
      <c r="K1771" s="11">
        <v>-710</v>
      </c>
      <c r="L1771" s="11">
        <f t="shared" si="47"/>
        <v>-2710</v>
      </c>
      <c r="M1771" s="11">
        <f t="shared" si="48"/>
        <v>-422</v>
      </c>
    </row>
    <row r="1772" spans="1:13">
      <c r="A1772" s="7">
        <v>45601</v>
      </c>
      <c r="B1772" s="8">
        <v>85.282116104870099</v>
      </c>
      <c r="E1772" s="13">
        <v>88.7</v>
      </c>
      <c r="F1772" s="10">
        <f>AVERAGE($E$1463:E1772)</f>
        <v>87.794969758064553</v>
      </c>
      <c r="I1772" s="11">
        <v>1996</v>
      </c>
      <c r="J1772" s="11">
        <v>-2000</v>
      </c>
      <c r="K1772" s="11">
        <v>-782</v>
      </c>
      <c r="L1772" s="11">
        <f t="shared" si="47"/>
        <v>-2782</v>
      </c>
      <c r="M1772" s="11">
        <f t="shared" si="48"/>
        <v>-786</v>
      </c>
    </row>
    <row r="1773" spans="1:13">
      <c r="A1773" s="7">
        <v>45602</v>
      </c>
      <c r="B1773" s="8">
        <v>85.240449438203427</v>
      </c>
      <c r="E1773" s="13">
        <v>87.7</v>
      </c>
      <c r="F1773" s="10">
        <f>AVERAGE($E$1463:E1773)</f>
        <v>87.794664389067563</v>
      </c>
      <c r="I1773" s="11">
        <v>2643</v>
      </c>
      <c r="J1773" s="11">
        <v>-2000</v>
      </c>
      <c r="K1773" s="11">
        <v>-898</v>
      </c>
      <c r="L1773" s="11">
        <f t="shared" si="47"/>
        <v>-2898</v>
      </c>
      <c r="M1773" s="11">
        <f t="shared" si="48"/>
        <v>-255</v>
      </c>
    </row>
    <row r="1774" spans="1:13">
      <c r="A1774" s="7">
        <v>45603</v>
      </c>
      <c r="B1774" s="8">
        <v>85.198782771536756</v>
      </c>
      <c r="E1774" s="13">
        <v>87.1</v>
      </c>
      <c r="F1774" s="10">
        <f>AVERAGE($E$1463:E1774)</f>
        <v>87.792437900641062</v>
      </c>
      <c r="I1774" s="11">
        <v>2984</v>
      </c>
      <c r="J1774" s="11">
        <v>-2000</v>
      </c>
      <c r="K1774" s="11">
        <v>-1101</v>
      </c>
      <c r="L1774" s="11">
        <f t="shared" si="47"/>
        <v>-3101</v>
      </c>
      <c r="M1774" s="11">
        <f t="shared" si="48"/>
        <v>-117</v>
      </c>
    </row>
    <row r="1775" spans="1:13">
      <c r="A1775" s="7">
        <v>45604</v>
      </c>
      <c r="B1775" s="8">
        <v>85.157116104870084</v>
      </c>
      <c r="E1775" s="13">
        <f>E1774+0.5</f>
        <v>87.6</v>
      </c>
      <c r="F1775" s="10">
        <f>AVERAGE($E$1463:E1775)</f>
        <v>87.791823083067115</v>
      </c>
      <c r="I1775" s="11">
        <v>2500</v>
      </c>
      <c r="J1775" s="11">
        <v>-2000</v>
      </c>
      <c r="K1775" s="11">
        <v>-626</v>
      </c>
      <c r="L1775" s="11">
        <f t="shared" si="47"/>
        <v>-2626</v>
      </c>
      <c r="M1775" s="11">
        <f t="shared" si="48"/>
        <v>-126</v>
      </c>
    </row>
    <row r="1776" spans="1:13">
      <c r="A1776" s="7">
        <v>45605</v>
      </c>
      <c r="B1776" s="8">
        <v>85.115449438203413</v>
      </c>
      <c r="E1776" s="13">
        <f>E1775+0.5</f>
        <v>88.1</v>
      </c>
      <c r="F1776" s="10">
        <f>AVERAGE($E$1463:E1776)</f>
        <v>87.792804538216586</v>
      </c>
      <c r="I1776" s="11">
        <v>2500</v>
      </c>
      <c r="J1776" s="11">
        <v>-2000</v>
      </c>
      <c r="K1776" s="11">
        <v>-656</v>
      </c>
      <c r="L1776" s="11">
        <f t="shared" si="47"/>
        <v>-2656</v>
      </c>
      <c r="M1776" s="11">
        <f t="shared" si="48"/>
        <v>-156</v>
      </c>
    </row>
    <row r="1777" spans="1:13">
      <c r="A1777" s="7">
        <v>45606</v>
      </c>
      <c r="B1777" s="8">
        <v>85.073782771536742</v>
      </c>
      <c r="E1777" s="13">
        <v>88.2</v>
      </c>
      <c r="F1777" s="10">
        <f>AVERAGE($E$1463:E1777)</f>
        <v>87.794097222222248</v>
      </c>
      <c r="I1777" s="11">
        <v>2500</v>
      </c>
      <c r="J1777" s="11">
        <v>-2000</v>
      </c>
      <c r="K1777" s="11">
        <v>-1598</v>
      </c>
      <c r="L1777" s="11">
        <f t="shared" si="47"/>
        <v>-3598</v>
      </c>
      <c r="M1777" s="11">
        <f t="shared" si="48"/>
        <v>-1098</v>
      </c>
    </row>
    <row r="1778" spans="1:13">
      <c r="A1778" s="7">
        <v>45607</v>
      </c>
      <c r="B1778" s="8">
        <v>85.03211610487007</v>
      </c>
      <c r="E1778" s="13">
        <v>87.7</v>
      </c>
      <c r="F1778" s="10">
        <f>AVERAGE($E$1463:E1778)</f>
        <v>87.793799446202556</v>
      </c>
      <c r="I1778" s="11">
        <v>2500</v>
      </c>
      <c r="J1778" s="11">
        <v>-2000</v>
      </c>
      <c r="K1778" s="11">
        <v>-1551</v>
      </c>
      <c r="L1778" s="11">
        <f t="shared" si="47"/>
        <v>-3551</v>
      </c>
      <c r="M1778" s="11">
        <f t="shared" si="48"/>
        <v>-1051</v>
      </c>
    </row>
    <row r="1779" spans="1:13">
      <c r="A1779" s="7">
        <v>45608</v>
      </c>
      <c r="B1779" s="8">
        <v>84.990449438203399</v>
      </c>
      <c r="E1779" s="13">
        <v>88.2</v>
      </c>
      <c r="F1779" s="10">
        <f>AVERAGE($E$1463:E1779)</f>
        <v>87.795080835962167</v>
      </c>
      <c r="I1779" s="11">
        <v>2500</v>
      </c>
      <c r="J1779" s="11">
        <v>-2000</v>
      </c>
      <c r="K1779" s="11">
        <v>-878</v>
      </c>
      <c r="L1779" s="11">
        <f t="shared" si="47"/>
        <v>-2878</v>
      </c>
      <c r="M1779" s="11">
        <f t="shared" si="48"/>
        <v>-378</v>
      </c>
    </row>
    <row r="1780" spans="1:13">
      <c r="A1780" s="7">
        <v>45609</v>
      </c>
      <c r="B1780" s="8">
        <v>84.948782771536727</v>
      </c>
      <c r="E1780" s="13">
        <f>AVERAGE(E1779,E1781)</f>
        <v>88.4</v>
      </c>
      <c r="F1780" s="10">
        <f>AVERAGE($E$1463:E1780)</f>
        <v>87.796983097484315</v>
      </c>
      <c r="I1780" s="11">
        <v>2500</v>
      </c>
      <c r="J1780" s="11">
        <v>-2000</v>
      </c>
      <c r="K1780" s="11">
        <v>-1067</v>
      </c>
      <c r="L1780" s="11">
        <f t="shared" si="47"/>
        <v>-3067</v>
      </c>
      <c r="M1780" s="11">
        <f t="shared" si="48"/>
        <v>-567</v>
      </c>
    </row>
    <row r="1781" spans="1:13">
      <c r="A1781" s="7">
        <v>45610</v>
      </c>
      <c r="B1781" s="8">
        <v>84.907116104870056</v>
      </c>
      <c r="E1781" s="13">
        <v>88.6</v>
      </c>
      <c r="F1781" s="10">
        <f>AVERAGE($E$1463:E1781)</f>
        <v>87.799500391849563</v>
      </c>
      <c r="I1781" s="11">
        <v>2500</v>
      </c>
      <c r="J1781" s="11">
        <v>-2000</v>
      </c>
      <c r="K1781" s="11">
        <v>-1013</v>
      </c>
      <c r="L1781" s="11">
        <f t="shared" si="47"/>
        <v>-3013</v>
      </c>
      <c r="M1781" s="11">
        <f t="shared" si="48"/>
        <v>-513</v>
      </c>
    </row>
    <row r="1782" spans="1:13">
      <c r="A1782" s="7">
        <v>45611</v>
      </c>
      <c r="B1782" s="8">
        <v>84.865449438203385</v>
      </c>
      <c r="E1782" s="13">
        <f>AVERAGE(E1781,E1783)</f>
        <v>88</v>
      </c>
      <c r="F1782" s="10">
        <f>AVERAGE($E$1463:E1782)</f>
        <v>87.80012695312503</v>
      </c>
      <c r="I1782" s="11">
        <v>2500</v>
      </c>
      <c r="J1782" s="11">
        <v>-2000</v>
      </c>
      <c r="K1782" s="11">
        <v>-879</v>
      </c>
      <c r="L1782" s="11">
        <f t="shared" si="47"/>
        <v>-2879</v>
      </c>
      <c r="M1782" s="11">
        <f t="shared" si="48"/>
        <v>-379</v>
      </c>
    </row>
    <row r="1783" spans="1:13">
      <c r="A1783" s="7">
        <v>45612</v>
      </c>
      <c r="B1783" s="8">
        <v>84.823782771536713</v>
      </c>
      <c r="E1783" s="13">
        <v>87.4</v>
      </c>
      <c r="F1783" s="10">
        <f>AVERAGE($E$1463:E1783)</f>
        <v>87.79888045171343</v>
      </c>
      <c r="I1783" s="11">
        <v>2500</v>
      </c>
      <c r="J1783" s="11">
        <v>-2000</v>
      </c>
      <c r="K1783" s="11">
        <v>-921</v>
      </c>
      <c r="L1783" s="11">
        <f t="shared" si="47"/>
        <v>-2921</v>
      </c>
      <c r="M1783" s="11">
        <f t="shared" si="48"/>
        <v>-421</v>
      </c>
    </row>
    <row r="1784" spans="1:13">
      <c r="A1784" s="7">
        <v>45613</v>
      </c>
      <c r="B1784" s="8">
        <v>84.782116104870042</v>
      </c>
      <c r="E1784" s="13">
        <v>88.2</v>
      </c>
      <c r="F1784" s="10">
        <f>AVERAGE($E$1463:E1784)</f>
        <v>87.800126164596307</v>
      </c>
      <c r="I1784" s="11">
        <v>2500</v>
      </c>
      <c r="J1784" s="11">
        <v>-2000</v>
      </c>
      <c r="K1784" s="11">
        <v>-894</v>
      </c>
      <c r="L1784" s="11">
        <f t="shared" si="47"/>
        <v>-2894</v>
      </c>
      <c r="M1784" s="11">
        <f t="shared" si="48"/>
        <v>-394</v>
      </c>
    </row>
    <row r="1785" spans="1:13">
      <c r="A1785" s="7">
        <v>45614</v>
      </c>
      <c r="B1785" s="8">
        <v>84.74044943820337</v>
      </c>
      <c r="E1785" s="13">
        <v>88.4</v>
      </c>
      <c r="F1785" s="10">
        <f>AVERAGE($E$1463:E1785)</f>
        <v>87.80198335913316</v>
      </c>
      <c r="I1785" s="11">
        <v>2500</v>
      </c>
      <c r="J1785" s="11">
        <v>-2000</v>
      </c>
      <c r="K1785" s="11">
        <v>-718</v>
      </c>
      <c r="L1785" s="11">
        <f t="shared" ref="L1785:L1848" si="49">SUM(J1785:K1785)</f>
        <v>-2718</v>
      </c>
      <c r="M1785" s="11">
        <f t="shared" ref="M1785:M1848" si="50">I1785+J1785+K1785</f>
        <v>-218</v>
      </c>
    </row>
    <row r="1786" spans="1:13">
      <c r="A1786" s="7">
        <v>45615</v>
      </c>
      <c r="B1786" s="8">
        <v>84.698782771536699</v>
      </c>
      <c r="E1786" s="13">
        <v>88.8</v>
      </c>
      <c r="F1786" s="10">
        <f>AVERAGE($E$1463:E1786)</f>
        <v>87.805063657407445</v>
      </c>
      <c r="I1786" s="11">
        <v>2500</v>
      </c>
      <c r="J1786" s="11">
        <v>-2000</v>
      </c>
      <c r="K1786" s="11">
        <v>-914</v>
      </c>
      <c r="L1786" s="11">
        <f t="shared" si="49"/>
        <v>-2914</v>
      </c>
      <c r="M1786" s="11">
        <f t="shared" si="50"/>
        <v>-414</v>
      </c>
    </row>
    <row r="1787" spans="1:13">
      <c r="A1787" s="7">
        <v>45616</v>
      </c>
      <c r="B1787" s="8">
        <v>84.657116104870028</v>
      </c>
      <c r="E1787" s="13">
        <v>88.1</v>
      </c>
      <c r="F1787" s="10">
        <f>AVERAGE($E$1463:E1787)</f>
        <v>87.805971153846187</v>
      </c>
      <c r="I1787" s="11">
        <v>3000</v>
      </c>
      <c r="J1787" s="11">
        <v>-2000</v>
      </c>
      <c r="K1787" s="11">
        <v>-942</v>
      </c>
      <c r="L1787" s="11">
        <f t="shared" si="49"/>
        <v>-2942</v>
      </c>
      <c r="M1787" s="11">
        <f t="shared" si="50"/>
        <v>58</v>
      </c>
    </row>
    <row r="1788" spans="1:13">
      <c r="A1788" s="7">
        <v>45617</v>
      </c>
      <c r="B1788" s="8">
        <v>84.615449438203356</v>
      </c>
      <c r="E1788" s="13">
        <v>88.1</v>
      </c>
      <c r="F1788" s="10">
        <f>AVERAGE($E$1463:E1788)</f>
        <v>87.806873082822108</v>
      </c>
      <c r="I1788" s="11">
        <v>3000</v>
      </c>
      <c r="J1788" s="11">
        <v>-2000</v>
      </c>
      <c r="K1788" s="11">
        <v>-646</v>
      </c>
      <c r="L1788" s="11">
        <f t="shared" si="49"/>
        <v>-2646</v>
      </c>
      <c r="M1788" s="11">
        <f t="shared" si="50"/>
        <v>354</v>
      </c>
    </row>
    <row r="1789" spans="1:13">
      <c r="A1789" s="7">
        <v>45618</v>
      </c>
      <c r="B1789" s="8">
        <v>84.573782771536685</v>
      </c>
      <c r="E1789" s="13">
        <v>88.1</v>
      </c>
      <c r="F1789" s="10">
        <f>AVERAGE($E$1463:E1789)</f>
        <v>87.80776949541287</v>
      </c>
      <c r="I1789" s="11">
        <v>3000</v>
      </c>
      <c r="J1789" s="11">
        <v>-2000</v>
      </c>
      <c r="K1789" s="11">
        <v>-581</v>
      </c>
      <c r="L1789" s="11">
        <f t="shared" si="49"/>
        <v>-2581</v>
      </c>
      <c r="M1789" s="11">
        <f t="shared" si="50"/>
        <v>419</v>
      </c>
    </row>
    <row r="1790" spans="1:13">
      <c r="A1790" s="7">
        <v>45619</v>
      </c>
      <c r="B1790" s="8">
        <v>84.532116104870013</v>
      </c>
      <c r="E1790" s="13">
        <v>88.2</v>
      </c>
      <c r="F1790" s="10">
        <f>AVERAGE($E$1463:E1790)</f>
        <v>87.80896532012197</v>
      </c>
      <c r="I1790" s="11">
        <v>3000</v>
      </c>
      <c r="J1790" s="11">
        <v>-2000</v>
      </c>
      <c r="K1790" s="11">
        <v>-1178</v>
      </c>
      <c r="L1790" s="11">
        <f t="shared" si="49"/>
        <v>-3178</v>
      </c>
      <c r="M1790" s="11">
        <f t="shared" si="50"/>
        <v>-178</v>
      </c>
    </row>
    <row r="1791" spans="1:13">
      <c r="A1791" s="7">
        <v>45620</v>
      </c>
      <c r="B1791" s="8">
        <v>84.490449438203342</v>
      </c>
      <c r="E1791" s="13">
        <v>88.7</v>
      </c>
      <c r="F1791" s="10">
        <f>AVERAGE($E$1463:E1791)</f>
        <v>87.81167363221887</v>
      </c>
      <c r="I1791" s="11">
        <v>3000</v>
      </c>
      <c r="J1791" s="11">
        <v>-2000</v>
      </c>
      <c r="K1791" s="11">
        <v>-563</v>
      </c>
      <c r="L1791" s="11">
        <f t="shared" si="49"/>
        <v>-2563</v>
      </c>
      <c r="M1791" s="11">
        <f t="shared" si="50"/>
        <v>437</v>
      </c>
    </row>
    <row r="1792" spans="1:13">
      <c r="A1792" s="7">
        <v>45621</v>
      </c>
      <c r="B1792" s="8">
        <v>84.448782771536671</v>
      </c>
      <c r="E1792" s="13">
        <v>89.4</v>
      </c>
      <c r="F1792" s="10">
        <f>AVERAGE($E$1463:E1792)</f>
        <v>87.816486742424274</v>
      </c>
      <c r="I1792" s="11">
        <v>3000</v>
      </c>
      <c r="J1792" s="11">
        <v>-2000</v>
      </c>
      <c r="K1792" s="11">
        <v>-843</v>
      </c>
      <c r="L1792" s="11">
        <f t="shared" si="49"/>
        <v>-2843</v>
      </c>
      <c r="M1792" s="11">
        <f t="shared" si="50"/>
        <v>157</v>
      </c>
    </row>
    <row r="1793" spans="1:13">
      <c r="A1793" s="7">
        <v>45622</v>
      </c>
      <c r="B1793" s="8">
        <v>84.407116104869999</v>
      </c>
      <c r="E1793" s="13">
        <v>89.1</v>
      </c>
      <c r="F1793" s="10">
        <f>AVERAGE($E$1463:E1793)</f>
        <v>87.820364425981893</v>
      </c>
      <c r="I1793" s="11">
        <v>3000</v>
      </c>
      <c r="J1793" s="11">
        <v>-2000</v>
      </c>
      <c r="K1793" s="11">
        <v>-948</v>
      </c>
      <c r="L1793" s="11">
        <f t="shared" si="49"/>
        <v>-2948</v>
      </c>
      <c r="M1793" s="11">
        <f t="shared" si="50"/>
        <v>52</v>
      </c>
    </row>
    <row r="1794" spans="1:13">
      <c r="A1794" s="7">
        <v>45623</v>
      </c>
      <c r="B1794" s="8">
        <v>84.365449438203328</v>
      </c>
      <c r="E1794" s="13">
        <v>89.2</v>
      </c>
      <c r="F1794" s="10">
        <f>AVERAGE($E$1463:E1794)</f>
        <v>87.824519954819309</v>
      </c>
      <c r="I1794" s="11">
        <v>3000</v>
      </c>
      <c r="J1794" s="11">
        <v>-2000</v>
      </c>
      <c r="K1794" s="11">
        <v>-802</v>
      </c>
      <c r="L1794" s="11">
        <f t="shared" si="49"/>
        <v>-2802</v>
      </c>
      <c r="M1794" s="11">
        <f t="shared" si="50"/>
        <v>198</v>
      </c>
    </row>
    <row r="1795" spans="1:13">
      <c r="A1795" s="7">
        <v>45624</v>
      </c>
      <c r="B1795" s="8">
        <v>84.323782771536656</v>
      </c>
      <c r="E1795" s="13">
        <v>88.6</v>
      </c>
      <c r="F1795" s="10">
        <f>AVERAGE($E$1463:E1795)</f>
        <v>87.826848723723742</v>
      </c>
      <c r="I1795" s="11">
        <v>3000</v>
      </c>
      <c r="J1795" s="11">
        <v>-2000</v>
      </c>
      <c r="K1795" s="11">
        <v>-520</v>
      </c>
      <c r="L1795" s="11">
        <f t="shared" si="49"/>
        <v>-2520</v>
      </c>
      <c r="M1795" s="11">
        <f t="shared" si="50"/>
        <v>480</v>
      </c>
    </row>
    <row r="1796" spans="1:13">
      <c r="A1796" s="7">
        <v>45625</v>
      </c>
      <c r="B1796" s="8">
        <v>84.282116104869985</v>
      </c>
      <c r="E1796" s="13">
        <v>88.8</v>
      </c>
      <c r="F1796" s="10">
        <f>AVERAGE($E$1463:E1796)</f>
        <v>87.829762350299418</v>
      </c>
      <c r="I1796" s="11">
        <v>3000</v>
      </c>
      <c r="J1796" s="11">
        <v>-2000</v>
      </c>
      <c r="K1796" s="11">
        <v>-1157</v>
      </c>
      <c r="L1796" s="11">
        <f t="shared" si="49"/>
        <v>-3157</v>
      </c>
      <c r="M1796" s="11">
        <f t="shared" si="50"/>
        <v>-157</v>
      </c>
    </row>
    <row r="1797" spans="1:13">
      <c r="A1797" s="7">
        <v>45626</v>
      </c>
      <c r="B1797" s="8">
        <v>84.240449438203314</v>
      </c>
      <c r="E1797" s="13">
        <v>88.9</v>
      </c>
      <c r="F1797" s="10">
        <f>AVERAGE($E$1463:E1797)</f>
        <v>87.832957089552266</v>
      </c>
      <c r="I1797" s="11">
        <v>3000</v>
      </c>
      <c r="J1797" s="11">
        <v>-2000</v>
      </c>
      <c r="K1797" s="11">
        <v>-1003</v>
      </c>
      <c r="L1797" s="11">
        <f t="shared" si="49"/>
        <v>-3003</v>
      </c>
      <c r="M1797" s="11">
        <f t="shared" si="50"/>
        <v>-3</v>
      </c>
    </row>
    <row r="1798" spans="1:13">
      <c r="A1798" s="7">
        <v>45627</v>
      </c>
      <c r="B1798" s="8">
        <v>87.198782771536642</v>
      </c>
      <c r="E1798" s="13">
        <v>88.6</v>
      </c>
      <c r="F1798" s="10">
        <f>AVERAGE($E$1463:E1798)</f>
        <v>87.835239955357167</v>
      </c>
      <c r="I1798" s="11">
        <v>3000</v>
      </c>
      <c r="J1798" s="11">
        <v>-2000</v>
      </c>
      <c r="K1798" s="11">
        <v>-1527</v>
      </c>
      <c r="L1798" s="11">
        <f t="shared" si="49"/>
        <v>-3527</v>
      </c>
      <c r="M1798" s="11">
        <f t="shared" si="50"/>
        <v>-527</v>
      </c>
    </row>
    <row r="1799" spans="1:13">
      <c r="A1799" s="7">
        <v>45628</v>
      </c>
      <c r="B1799" s="8">
        <v>87.157116104869971</v>
      </c>
      <c r="E1799" s="13">
        <v>88.2</v>
      </c>
      <c r="F1799" s="10">
        <f>AVERAGE($E$1463:E1799)</f>
        <v>87.836322329376884</v>
      </c>
      <c r="I1799" s="11">
        <v>3000</v>
      </c>
      <c r="J1799" s="11">
        <v>-2000</v>
      </c>
      <c r="K1799" s="11">
        <v>-904</v>
      </c>
      <c r="L1799" s="11">
        <f t="shared" si="49"/>
        <v>-2904</v>
      </c>
      <c r="M1799" s="11">
        <f t="shared" si="50"/>
        <v>96</v>
      </c>
    </row>
    <row r="1800" spans="1:13">
      <c r="A1800" s="7">
        <v>45629</v>
      </c>
      <c r="B1800" s="8">
        <v>87.115449438203299</v>
      </c>
      <c r="E1800" s="13">
        <v>88</v>
      </c>
      <c r="F1800" s="10">
        <f>AVERAGE($E$1463:E1800)</f>
        <v>87.836806582840254</v>
      </c>
      <c r="I1800" s="11">
        <v>3000</v>
      </c>
      <c r="J1800" s="11">
        <v>-2000</v>
      </c>
      <c r="K1800" s="11">
        <v>-788</v>
      </c>
      <c r="L1800" s="11">
        <f t="shared" si="49"/>
        <v>-2788</v>
      </c>
      <c r="M1800" s="11">
        <f t="shared" si="50"/>
        <v>212</v>
      </c>
    </row>
    <row r="1801" spans="1:13">
      <c r="A1801" s="7">
        <v>45630</v>
      </c>
      <c r="B1801" s="8">
        <v>87.073782771536628</v>
      </c>
      <c r="E1801" s="13">
        <v>87.9</v>
      </c>
      <c r="F1801" s="10">
        <f>AVERAGE($E$1463:E1801)</f>
        <v>87.836992994100328</v>
      </c>
      <c r="I1801" s="11">
        <v>3000</v>
      </c>
      <c r="J1801" s="11">
        <v>-2000</v>
      </c>
      <c r="K1801" s="11">
        <v>-874</v>
      </c>
      <c r="L1801" s="11">
        <f t="shared" si="49"/>
        <v>-2874</v>
      </c>
      <c r="M1801" s="11">
        <f t="shared" si="50"/>
        <v>126</v>
      </c>
    </row>
    <row r="1802" spans="1:13">
      <c r="A1802" s="7">
        <v>45631</v>
      </c>
      <c r="B1802" s="8">
        <v>87.032116104869957</v>
      </c>
      <c r="E1802" s="13">
        <v>87.8</v>
      </c>
      <c r="F1802" s="10">
        <f>AVERAGE($E$1463:E1802)</f>
        <v>87.836884191176495</v>
      </c>
      <c r="I1802" s="11">
        <v>3000</v>
      </c>
      <c r="J1802" s="11">
        <v>-2000</v>
      </c>
      <c r="K1802" s="11">
        <v>-485</v>
      </c>
      <c r="L1802" s="11">
        <f t="shared" si="49"/>
        <v>-2485</v>
      </c>
      <c r="M1802" s="11">
        <f t="shared" si="50"/>
        <v>515</v>
      </c>
    </row>
    <row r="1803" spans="1:13">
      <c r="A1803" s="7">
        <v>45632</v>
      </c>
      <c r="B1803" s="8">
        <v>86.990449438203285</v>
      </c>
      <c r="E1803" s="13">
        <v>87.2</v>
      </c>
      <c r="F1803" s="10">
        <f>AVERAGE($E$1463:E1803)</f>
        <v>87.835016495601195</v>
      </c>
      <c r="I1803" s="11">
        <v>3000</v>
      </c>
      <c r="J1803" s="11">
        <v>-2000</v>
      </c>
      <c r="K1803" s="11">
        <v>-750</v>
      </c>
      <c r="L1803" s="11">
        <f t="shared" si="49"/>
        <v>-2750</v>
      </c>
      <c r="M1803" s="11">
        <f t="shared" si="50"/>
        <v>250</v>
      </c>
    </row>
    <row r="1804" spans="1:13">
      <c r="A1804" s="7">
        <v>45633</v>
      </c>
      <c r="B1804" s="8">
        <v>86.948782771536614</v>
      </c>
      <c r="E1804" s="13">
        <v>87.9</v>
      </c>
      <c r="F1804" s="10">
        <f>AVERAGE($E$1463:E1804)</f>
        <v>87.835206505847978</v>
      </c>
      <c r="I1804" s="11">
        <v>3000</v>
      </c>
      <c r="J1804" s="11">
        <v>-2000</v>
      </c>
      <c r="K1804" s="11">
        <v>-696</v>
      </c>
      <c r="L1804" s="11">
        <f t="shared" si="49"/>
        <v>-2696</v>
      </c>
      <c r="M1804" s="11">
        <f t="shared" si="50"/>
        <v>304</v>
      </c>
    </row>
    <row r="1805" spans="1:13">
      <c r="A1805" s="7">
        <v>45634</v>
      </c>
      <c r="B1805" s="8">
        <v>86.907116104869942</v>
      </c>
      <c r="E1805" s="13">
        <v>88.1</v>
      </c>
      <c r="F1805" s="10">
        <f>AVERAGE($E$1463:E1805)</f>
        <v>87.835978498542303</v>
      </c>
      <c r="I1805" s="11">
        <v>3000</v>
      </c>
      <c r="J1805" s="11">
        <v>-2000</v>
      </c>
      <c r="K1805" s="11">
        <v>-1600</v>
      </c>
      <c r="L1805" s="11">
        <f t="shared" si="49"/>
        <v>-3600</v>
      </c>
      <c r="M1805" s="11">
        <f t="shared" si="50"/>
        <v>-600</v>
      </c>
    </row>
    <row r="1806" spans="1:13">
      <c r="A1806" s="7">
        <v>45635</v>
      </c>
      <c r="B1806" s="8">
        <v>86.865449438203271</v>
      </c>
      <c r="E1806" s="13">
        <v>87.2</v>
      </c>
      <c r="F1806" s="10">
        <f>AVERAGE($E$1463:E1806)</f>
        <v>87.834129723837236</v>
      </c>
      <c r="I1806" s="11">
        <v>3000</v>
      </c>
      <c r="J1806" s="11">
        <v>-2000</v>
      </c>
      <c r="K1806" s="11">
        <v>-768</v>
      </c>
      <c r="L1806" s="11">
        <f t="shared" si="49"/>
        <v>-2768</v>
      </c>
      <c r="M1806" s="11">
        <f t="shared" si="50"/>
        <v>232</v>
      </c>
    </row>
    <row r="1807" spans="1:13">
      <c r="A1807" s="7">
        <v>45636</v>
      </c>
      <c r="B1807" s="8">
        <v>86.8237827715366</v>
      </c>
      <c r="E1807" s="13">
        <v>87.3</v>
      </c>
      <c r="F1807" s="10">
        <f>AVERAGE($E$1463:E1807)</f>
        <v>87.832581521739158</v>
      </c>
      <c r="I1807" s="11">
        <v>3000</v>
      </c>
      <c r="J1807" s="11">
        <v>-2000</v>
      </c>
      <c r="K1807" s="11">
        <v>-538</v>
      </c>
      <c r="L1807" s="11">
        <f t="shared" si="49"/>
        <v>-2538</v>
      </c>
      <c r="M1807" s="11">
        <f t="shared" si="50"/>
        <v>462</v>
      </c>
    </row>
    <row r="1808" spans="1:13">
      <c r="A1808" s="7">
        <v>45637</v>
      </c>
      <c r="B1808" s="8">
        <v>86.782116104869928</v>
      </c>
      <c r="E1808" s="13">
        <v>87</v>
      </c>
      <c r="F1808" s="10">
        <f>AVERAGE($E$1463:E1808)</f>
        <v>87.830175216763038</v>
      </c>
      <c r="I1808" s="11">
        <v>3000</v>
      </c>
      <c r="J1808" s="11">
        <v>-2000</v>
      </c>
      <c r="K1808" s="11">
        <v>-764</v>
      </c>
      <c r="L1808" s="11">
        <f t="shared" si="49"/>
        <v>-2764</v>
      </c>
      <c r="M1808" s="11">
        <f t="shared" si="50"/>
        <v>236</v>
      </c>
    </row>
    <row r="1809" spans="1:13">
      <c r="A1809" s="7">
        <v>45638</v>
      </c>
      <c r="B1809" s="8">
        <v>86.740449438203257</v>
      </c>
      <c r="E1809" s="13">
        <v>86.7</v>
      </c>
      <c r="F1809" s="10">
        <f>AVERAGE($E$1463:E1809)</f>
        <v>87.826918227665729</v>
      </c>
      <c r="I1809" s="11">
        <v>3000</v>
      </c>
      <c r="J1809" s="11">
        <v>-2000</v>
      </c>
      <c r="K1809" s="11">
        <v>-736</v>
      </c>
      <c r="L1809" s="11">
        <f t="shared" si="49"/>
        <v>-2736</v>
      </c>
      <c r="M1809" s="11">
        <f t="shared" si="50"/>
        <v>264</v>
      </c>
    </row>
    <row r="1810" spans="1:13">
      <c r="A1810" s="7">
        <v>45639</v>
      </c>
      <c r="B1810" s="8">
        <v>86.698782771536585</v>
      </c>
      <c r="E1810" s="13">
        <v>88</v>
      </c>
      <c r="F1810" s="10">
        <f>AVERAGE($E$1463:E1810)</f>
        <v>87.827415589080488</v>
      </c>
      <c r="I1810" s="11">
        <v>3000</v>
      </c>
      <c r="J1810" s="11">
        <v>-2000</v>
      </c>
      <c r="K1810" s="11">
        <v>-520</v>
      </c>
      <c r="L1810" s="11">
        <f t="shared" si="49"/>
        <v>-2520</v>
      </c>
      <c r="M1810" s="11">
        <f t="shared" si="50"/>
        <v>480</v>
      </c>
    </row>
    <row r="1811" spans="1:13">
      <c r="A1811" s="7">
        <v>45640</v>
      </c>
      <c r="B1811" s="8">
        <v>86.657116104869914</v>
      </c>
      <c r="E1811" s="13">
        <v>88.8</v>
      </c>
      <c r="F1811" s="10">
        <f>AVERAGE($E$1463:E1811)</f>
        <v>87.830202363896873</v>
      </c>
      <c r="I1811" s="11">
        <v>3000</v>
      </c>
      <c r="J1811" s="11">
        <v>-2000</v>
      </c>
      <c r="K1811" s="11">
        <v>-863</v>
      </c>
      <c r="L1811" s="11">
        <f t="shared" si="49"/>
        <v>-2863</v>
      </c>
      <c r="M1811" s="11">
        <f t="shared" si="50"/>
        <v>137</v>
      </c>
    </row>
    <row r="1812" spans="1:13">
      <c r="A1812" s="7">
        <v>45641</v>
      </c>
      <c r="B1812" s="8">
        <v>86.615449438203242</v>
      </c>
      <c r="E1812" s="13">
        <v>89.7</v>
      </c>
      <c r="F1812" s="10">
        <f>AVERAGE($E$1463:E1812)</f>
        <v>87.835544642857172</v>
      </c>
      <c r="I1812" s="11">
        <v>3000</v>
      </c>
      <c r="J1812" s="11">
        <v>-2000</v>
      </c>
      <c r="K1812" s="11">
        <v>-667</v>
      </c>
      <c r="L1812" s="11">
        <f t="shared" si="49"/>
        <v>-2667</v>
      </c>
      <c r="M1812" s="11">
        <f t="shared" si="50"/>
        <v>333</v>
      </c>
    </row>
    <row r="1813" spans="1:13">
      <c r="A1813" s="7">
        <v>45642</v>
      </c>
      <c r="B1813" s="8">
        <v>86.573782771536571</v>
      </c>
      <c r="E1813" s="13">
        <f>E1812-0.4</f>
        <v>89.3</v>
      </c>
      <c r="F1813" s="10">
        <f>AVERAGE($E$1463:E1813)</f>
        <v>87.839716880341911</v>
      </c>
      <c r="I1813" s="11">
        <v>3000</v>
      </c>
      <c r="J1813" s="11">
        <v>-2000</v>
      </c>
      <c r="K1813" s="11">
        <v>-606</v>
      </c>
      <c r="L1813" s="11">
        <f t="shared" si="49"/>
        <v>-2606</v>
      </c>
      <c r="M1813" s="11">
        <f t="shared" si="50"/>
        <v>394</v>
      </c>
    </row>
    <row r="1814" spans="1:13">
      <c r="A1814" s="7">
        <v>45643</v>
      </c>
      <c r="B1814" s="8">
        <v>86.5321161048699</v>
      </c>
      <c r="E1814" s="13">
        <f>E1813-0.4</f>
        <v>88.899999999999991</v>
      </c>
      <c r="F1814" s="10">
        <f>AVERAGE($E$1463:E1814)</f>
        <v>87.842729048295482</v>
      </c>
      <c r="I1814" s="11">
        <v>3000</v>
      </c>
      <c r="J1814" s="11">
        <v>-2000</v>
      </c>
      <c r="K1814" s="11">
        <v>-857</v>
      </c>
      <c r="L1814" s="11">
        <f t="shared" si="49"/>
        <v>-2857</v>
      </c>
      <c r="M1814" s="11">
        <f t="shared" si="50"/>
        <v>143</v>
      </c>
    </row>
    <row r="1815" spans="1:13">
      <c r="A1815" s="7">
        <v>45644</v>
      </c>
      <c r="B1815" s="8">
        <v>86.490449438203228</v>
      </c>
      <c r="E1815" s="13">
        <f>E1814-0.4</f>
        <v>88.499999999999986</v>
      </c>
      <c r="F1815" s="10">
        <f>AVERAGE($E$1463:E1815)</f>
        <v>87.844591005665748</v>
      </c>
      <c r="I1815" s="11">
        <v>3000</v>
      </c>
      <c r="J1815" s="11">
        <v>-2000</v>
      </c>
      <c r="K1815" s="11">
        <v>-547</v>
      </c>
      <c r="L1815" s="11">
        <f t="shared" si="49"/>
        <v>-2547</v>
      </c>
      <c r="M1815" s="11">
        <f t="shared" si="50"/>
        <v>453</v>
      </c>
    </row>
    <row r="1816" spans="1:13">
      <c r="A1816" s="7">
        <v>45645</v>
      </c>
      <c r="B1816" s="8">
        <v>86.448782771536557</v>
      </c>
      <c r="E1816" s="13">
        <f>E1815-0.4</f>
        <v>88.09999999999998</v>
      </c>
      <c r="F1816" s="10">
        <f>AVERAGE($E$1463:E1816)</f>
        <v>87.84531250000002</v>
      </c>
      <c r="I1816" s="11">
        <v>3000</v>
      </c>
      <c r="J1816" s="11">
        <v>-2000</v>
      </c>
      <c r="K1816" s="11">
        <v>-1331</v>
      </c>
      <c r="L1816" s="11">
        <f t="shared" si="49"/>
        <v>-3331</v>
      </c>
      <c r="M1816" s="11">
        <f t="shared" si="50"/>
        <v>-331</v>
      </c>
    </row>
    <row r="1817" spans="1:13">
      <c r="A1817" s="7">
        <v>45646</v>
      </c>
      <c r="B1817" s="8">
        <v>86.407116104869885</v>
      </c>
      <c r="C1817" s="44"/>
      <c r="E1817" s="13">
        <v>87.7</v>
      </c>
      <c r="F1817" s="10">
        <f>AVERAGE($E$1463:E1817)</f>
        <v>87.844903169014117</v>
      </c>
      <c r="G1817" s="44"/>
      <c r="I1817" s="11">
        <v>3000</v>
      </c>
      <c r="J1817" s="11">
        <v>-2000</v>
      </c>
      <c r="K1817" s="11">
        <v>-1257</v>
      </c>
      <c r="L1817" s="11">
        <f t="shared" si="49"/>
        <v>-3257</v>
      </c>
      <c r="M1817" s="11">
        <f t="shared" si="50"/>
        <v>-257</v>
      </c>
    </row>
    <row r="1818" spans="1:13">
      <c r="A1818" s="7">
        <v>45647</v>
      </c>
      <c r="B1818" s="8">
        <v>86.365449438203214</v>
      </c>
      <c r="C1818" s="44"/>
      <c r="E1818" s="13">
        <v>87.5</v>
      </c>
      <c r="F1818" s="10">
        <f>AVERAGE($E$1463:E1818)</f>
        <v>87.843934339887667</v>
      </c>
      <c r="G1818" s="44"/>
      <c r="I1818" s="11">
        <v>3000</v>
      </c>
      <c r="J1818" s="11">
        <v>-2000</v>
      </c>
      <c r="K1818" s="11">
        <v>-232</v>
      </c>
      <c r="L1818" s="11">
        <f t="shared" si="49"/>
        <v>-2232</v>
      </c>
      <c r="M1818" s="11">
        <f t="shared" si="50"/>
        <v>768</v>
      </c>
    </row>
    <row r="1819" spans="1:13">
      <c r="A1819" s="7">
        <v>45648</v>
      </c>
      <c r="B1819" s="8">
        <v>86.323782771536543</v>
      </c>
      <c r="C1819" s="44"/>
      <c r="E1819" s="13">
        <v>87.4</v>
      </c>
      <c r="F1819" s="10">
        <f>AVERAGE($E$1463:E1819)</f>
        <v>87.842690826330568</v>
      </c>
      <c r="G1819" s="44"/>
      <c r="I1819" s="11">
        <v>3000</v>
      </c>
      <c r="J1819" s="11">
        <v>-2000</v>
      </c>
      <c r="K1819" s="11">
        <v>-545</v>
      </c>
      <c r="L1819" s="11">
        <f t="shared" si="49"/>
        <v>-2545</v>
      </c>
      <c r="M1819" s="11">
        <f t="shared" si="50"/>
        <v>455</v>
      </c>
    </row>
    <row r="1820" spans="1:13">
      <c r="A1820" s="7">
        <v>45649</v>
      </c>
      <c r="B1820" s="8">
        <v>86.282116104869871</v>
      </c>
      <c r="C1820" s="44"/>
      <c r="E1820" s="13">
        <v>88</v>
      </c>
      <c r="F1820" s="10">
        <f>AVERAGE($E$1463:E1820)</f>
        <v>87.843130237430202</v>
      </c>
      <c r="G1820" s="44"/>
      <c r="I1820" s="11">
        <v>4000</v>
      </c>
      <c r="J1820" s="11">
        <v>-2000</v>
      </c>
      <c r="K1820" s="11">
        <v>-448</v>
      </c>
      <c r="L1820" s="11">
        <f t="shared" si="49"/>
        <v>-2448</v>
      </c>
      <c r="M1820" s="11">
        <f t="shared" si="50"/>
        <v>1552</v>
      </c>
    </row>
    <row r="1821" spans="1:13">
      <c r="A1821" s="7">
        <v>45650</v>
      </c>
      <c r="B1821" s="8">
        <v>86.2404494382032</v>
      </c>
      <c r="C1821" s="44"/>
      <c r="E1821" s="13">
        <v>88.6</v>
      </c>
      <c r="F1821" s="10">
        <f>AVERAGE($E$1463:E1821)</f>
        <v>87.845238509749336</v>
      </c>
      <c r="G1821" s="44"/>
      <c r="I1821" s="11">
        <v>4000</v>
      </c>
      <c r="J1821" s="11">
        <v>-2000</v>
      </c>
      <c r="K1821" s="11">
        <v>-545</v>
      </c>
      <c r="L1821" s="11">
        <f t="shared" si="49"/>
        <v>-2545</v>
      </c>
      <c r="M1821" s="11">
        <f t="shared" si="50"/>
        <v>1455</v>
      </c>
    </row>
    <row r="1822" spans="1:13">
      <c r="A1822" s="7">
        <v>45651</v>
      </c>
      <c r="B1822" s="8">
        <v>86.198782771536528</v>
      </c>
      <c r="C1822" s="44"/>
      <c r="E1822" s="13">
        <v>89.199999999999989</v>
      </c>
      <c r="F1822" s="10">
        <f>AVERAGE($E$1463:E1822)</f>
        <v>87.849001736111148</v>
      </c>
      <c r="G1822" s="44"/>
      <c r="I1822" s="11">
        <v>4000</v>
      </c>
      <c r="J1822" s="11">
        <v>-2000</v>
      </c>
      <c r="K1822" s="11">
        <v>-909</v>
      </c>
      <c r="L1822" s="11">
        <f t="shared" si="49"/>
        <v>-2909</v>
      </c>
      <c r="M1822" s="11">
        <f t="shared" si="50"/>
        <v>1091</v>
      </c>
    </row>
    <row r="1823" spans="1:13">
      <c r="A1823" s="7">
        <v>45652</v>
      </c>
      <c r="B1823" s="8">
        <v>86.157116104869857</v>
      </c>
      <c r="C1823" s="44"/>
      <c r="E1823" s="13">
        <v>89.799999999999983</v>
      </c>
      <c r="F1823" s="10">
        <f>AVERAGE($E$1463:E1823)</f>
        <v>87.85440616343493</v>
      </c>
      <c r="G1823" s="44"/>
      <c r="I1823" s="11">
        <v>3000</v>
      </c>
      <c r="J1823" s="11">
        <v>-2000</v>
      </c>
      <c r="K1823" s="11">
        <v>-556</v>
      </c>
      <c r="L1823" s="11">
        <f t="shared" si="49"/>
        <v>-2556</v>
      </c>
      <c r="M1823" s="11">
        <f t="shared" si="50"/>
        <v>444</v>
      </c>
    </row>
    <row r="1824" spans="1:13">
      <c r="A1824" s="7">
        <v>45653</v>
      </c>
      <c r="B1824" s="8">
        <v>86.115449438203186</v>
      </c>
      <c r="C1824" s="44"/>
      <c r="E1824" s="13">
        <v>90.3</v>
      </c>
      <c r="F1824" s="10">
        <f>AVERAGE($E$1463:E1824)</f>
        <v>87.861161947513835</v>
      </c>
      <c r="G1824" s="44"/>
      <c r="I1824" s="11">
        <v>2817</v>
      </c>
      <c r="J1824" s="11">
        <v>-2000</v>
      </c>
      <c r="K1824" s="11">
        <v>-1046</v>
      </c>
      <c r="L1824" s="11">
        <f t="shared" si="49"/>
        <v>-3046</v>
      </c>
      <c r="M1824" s="11">
        <f t="shared" si="50"/>
        <v>-229</v>
      </c>
    </row>
    <row r="1825" spans="1:18">
      <c r="A1825" s="7">
        <v>45654</v>
      </c>
      <c r="B1825" s="8">
        <v>86.073782771536514</v>
      </c>
      <c r="C1825" s="44"/>
      <c r="E1825" s="13">
        <v>90.3</v>
      </c>
      <c r="F1825" s="10">
        <f>AVERAGE($E$1463:E1825)</f>
        <v>87.867880509641893</v>
      </c>
      <c r="G1825" s="44">
        <v>0.216</v>
      </c>
      <c r="H1825" s="10">
        <f>G1825*E1825</f>
        <v>19.504799999999999</v>
      </c>
      <c r="I1825" s="11">
        <v>4478</v>
      </c>
      <c r="J1825" s="11">
        <v>-2000</v>
      </c>
      <c r="K1825" s="11">
        <v>-614</v>
      </c>
      <c r="L1825" s="11">
        <f t="shared" si="49"/>
        <v>-2614</v>
      </c>
      <c r="M1825" s="11">
        <f t="shared" si="50"/>
        <v>1864</v>
      </c>
    </row>
    <row r="1826" spans="1:18">
      <c r="A1826" s="7">
        <v>45655</v>
      </c>
      <c r="B1826" s="8">
        <v>86.032116104869843</v>
      </c>
      <c r="C1826" s="44"/>
      <c r="E1826" s="13">
        <v>91</v>
      </c>
      <c r="F1826" s="10">
        <f>AVERAGE($E$1463:E1826)</f>
        <v>87.876485233516505</v>
      </c>
      <c r="G1826" s="44"/>
      <c r="I1826" s="11">
        <v>3500</v>
      </c>
      <c r="J1826" s="11">
        <v>-2000</v>
      </c>
      <c r="K1826" s="11">
        <v>-536</v>
      </c>
      <c r="L1826" s="11">
        <f t="shared" si="49"/>
        <v>-2536</v>
      </c>
      <c r="M1826" s="11">
        <f t="shared" si="50"/>
        <v>964</v>
      </c>
    </row>
    <row r="1827" spans="1:18">
      <c r="A1827" s="7">
        <v>45656</v>
      </c>
      <c r="B1827" s="8">
        <v>85.990449438203171</v>
      </c>
      <c r="C1827" s="44"/>
      <c r="E1827" s="13">
        <v>91.6</v>
      </c>
      <c r="F1827" s="10">
        <f>AVERAGE($E$1463:E1827)</f>
        <v>87.886686643835631</v>
      </c>
      <c r="G1827" s="44"/>
      <c r="I1827" s="11">
        <v>3000</v>
      </c>
      <c r="J1827" s="11">
        <v>-2000</v>
      </c>
      <c r="K1827" s="11">
        <v>-1209</v>
      </c>
      <c r="L1827" s="11">
        <f t="shared" si="49"/>
        <v>-3209</v>
      </c>
      <c r="M1827" s="11">
        <f t="shared" si="50"/>
        <v>-209</v>
      </c>
    </row>
    <row r="1828" spans="1:18">
      <c r="A1828" s="7">
        <v>45657</v>
      </c>
      <c r="B1828" s="8">
        <v>85.9487827715365</v>
      </c>
      <c r="C1828" s="44"/>
      <c r="E1828" s="13">
        <v>90.4</v>
      </c>
      <c r="F1828" s="10">
        <f>AVERAGE($E$1463:E1828)</f>
        <v>87.893553620218597</v>
      </c>
      <c r="G1828" s="44">
        <v>0.23300000000000001</v>
      </c>
      <c r="H1828" s="10">
        <f>G1828*E1828</f>
        <v>21.063200000000002</v>
      </c>
      <c r="I1828" s="11">
        <v>4000</v>
      </c>
      <c r="J1828" s="11">
        <v>-2000</v>
      </c>
      <c r="K1828" s="11">
        <v>-696</v>
      </c>
      <c r="L1828" s="11">
        <f t="shared" si="49"/>
        <v>-2696</v>
      </c>
      <c r="M1828" s="11">
        <f t="shared" si="50"/>
        <v>1304</v>
      </c>
    </row>
    <row r="1829" spans="1:18" s="52" customFormat="1" ht="15.75" thickBot="1">
      <c r="A1829" s="45">
        <v>45658</v>
      </c>
      <c r="B1829" s="46">
        <v>90</v>
      </c>
      <c r="C1829" s="47">
        <v>0.22170000000000001</v>
      </c>
      <c r="D1829" s="48">
        <f>C1829*B1829</f>
        <v>19.952999999999999</v>
      </c>
      <c r="E1829" s="46">
        <v>91.4</v>
      </c>
      <c r="F1829" s="48">
        <f>AVERAGE(E1829)</f>
        <v>91.4</v>
      </c>
      <c r="G1829" s="49">
        <v>0.23200000000000001</v>
      </c>
      <c r="H1829" s="48">
        <f>E1829*G1829</f>
        <v>21.204800000000002</v>
      </c>
      <c r="I1829" s="50">
        <v>1599</v>
      </c>
      <c r="J1829" s="50">
        <v>-2000</v>
      </c>
      <c r="K1829" s="50">
        <v>-1536</v>
      </c>
      <c r="L1829" s="50">
        <f t="shared" si="49"/>
        <v>-3536</v>
      </c>
      <c r="M1829" s="50">
        <f t="shared" si="50"/>
        <v>-1937</v>
      </c>
      <c r="N1829" s="50"/>
      <c r="O1829" s="51"/>
      <c r="P1829" s="51"/>
      <c r="Q1829" s="51"/>
    </row>
    <row r="1830" spans="1:18">
      <c r="A1830" s="7">
        <v>45659</v>
      </c>
      <c r="B1830" s="8">
        <f>B1829-(5/90)</f>
        <v>89.944444444444443</v>
      </c>
      <c r="C1830" s="9">
        <f t="shared" ref="C1830:C1893" si="51">D1830/B1830</f>
        <v>0.22134280420012353</v>
      </c>
      <c r="D1830" s="10">
        <f>D1829-(4/90)</f>
        <v>19.908555555555555</v>
      </c>
      <c r="E1830" s="8">
        <v>90.1</v>
      </c>
      <c r="F1830" s="10">
        <f>AVERAGE($E$1829:E1830)</f>
        <v>90.75</v>
      </c>
      <c r="G1830" s="44">
        <v>0.22600000000000001</v>
      </c>
      <c r="H1830" s="10">
        <f t="shared" ref="H1830:H1893" si="52">G1830*E1830</f>
        <v>20.3626</v>
      </c>
      <c r="I1830" s="11">
        <v>2352</v>
      </c>
      <c r="J1830" s="11">
        <v>-2000</v>
      </c>
      <c r="K1830" s="11">
        <v>-1093</v>
      </c>
      <c r="L1830" s="11">
        <f t="shared" si="49"/>
        <v>-3093</v>
      </c>
      <c r="M1830" s="11">
        <f t="shared" si="50"/>
        <v>-741</v>
      </c>
      <c r="R1830">
        <f>5/90</f>
        <v>5.5555555555555552E-2</v>
      </c>
    </row>
    <row r="1831" spans="1:18">
      <c r="A1831" s="7">
        <v>45660</v>
      </c>
      <c r="B1831" s="8">
        <f t="shared" ref="B1831:B1859" si="53">B1830-(5/90)</f>
        <v>89.888888888888886</v>
      </c>
      <c r="C1831" s="9">
        <f t="shared" si="51"/>
        <v>0.22098516687268233</v>
      </c>
      <c r="D1831" s="10">
        <f t="shared" ref="D1831:D1894" si="54">D1830-(4/90)</f>
        <v>19.864111111111111</v>
      </c>
      <c r="E1831" s="8">
        <v>91.1</v>
      </c>
      <c r="F1831" s="10">
        <f>AVERAGE($E$1829:E1831)</f>
        <v>90.866666666666674</v>
      </c>
      <c r="G1831" s="44">
        <v>0.21299999999999999</v>
      </c>
      <c r="H1831" s="10">
        <f t="shared" si="52"/>
        <v>19.404299999999999</v>
      </c>
      <c r="I1831" s="11">
        <v>2828</v>
      </c>
      <c r="J1831" s="11">
        <v>-2000</v>
      </c>
      <c r="K1831" s="11">
        <v>-1129</v>
      </c>
      <c r="L1831" s="11">
        <f t="shared" si="49"/>
        <v>-3129</v>
      </c>
      <c r="M1831" s="11">
        <f t="shared" si="50"/>
        <v>-301</v>
      </c>
    </row>
    <row r="1832" spans="1:18">
      <c r="A1832" s="7">
        <v>45661</v>
      </c>
      <c r="B1832" s="8">
        <f t="shared" si="53"/>
        <v>89.833333333333329</v>
      </c>
      <c r="C1832" s="9">
        <f t="shared" si="51"/>
        <v>0.22062708719851579</v>
      </c>
      <c r="D1832" s="10">
        <f t="shared" si="54"/>
        <v>19.819666666666667</v>
      </c>
      <c r="E1832" s="13">
        <v>90.6</v>
      </c>
      <c r="F1832" s="10">
        <f>AVERAGE($E$1829:E1832)</f>
        <v>90.800000000000011</v>
      </c>
      <c r="G1832" s="44">
        <v>0.22</v>
      </c>
      <c r="H1832" s="10">
        <f t="shared" si="52"/>
        <v>19.931999999999999</v>
      </c>
      <c r="I1832" s="11">
        <v>2977</v>
      </c>
      <c r="J1832" s="11">
        <v>-2000</v>
      </c>
      <c r="K1832" s="11">
        <v>-697</v>
      </c>
      <c r="L1832" s="11">
        <f t="shared" si="49"/>
        <v>-2697</v>
      </c>
      <c r="M1832" s="11">
        <f t="shared" si="50"/>
        <v>280</v>
      </c>
    </row>
    <row r="1833" spans="1:18">
      <c r="A1833" s="7">
        <v>45662</v>
      </c>
      <c r="B1833" s="8">
        <f t="shared" si="53"/>
        <v>89.777777777777771</v>
      </c>
      <c r="C1833" s="44">
        <f t="shared" si="51"/>
        <v>0.22026856435643566</v>
      </c>
      <c r="D1833" s="10">
        <f t="shared" si="54"/>
        <v>19.775222222222222</v>
      </c>
      <c r="E1833" s="13">
        <v>91.6</v>
      </c>
      <c r="F1833" s="10">
        <f>AVERAGE($E$1829:E1833)</f>
        <v>90.960000000000008</v>
      </c>
      <c r="G1833" s="44">
        <v>0.224</v>
      </c>
      <c r="H1833" s="10">
        <f t="shared" si="52"/>
        <v>20.5184</v>
      </c>
      <c r="I1833" s="11">
        <v>2832</v>
      </c>
      <c r="J1833" s="11">
        <v>-2000</v>
      </c>
      <c r="K1833" s="11">
        <v>-1010</v>
      </c>
      <c r="L1833" s="11">
        <f t="shared" si="49"/>
        <v>-3010</v>
      </c>
      <c r="M1833" s="11">
        <f t="shared" si="50"/>
        <v>-178</v>
      </c>
    </row>
    <row r="1834" spans="1:18">
      <c r="A1834" s="7">
        <v>45663</v>
      </c>
      <c r="B1834" s="8">
        <f t="shared" si="53"/>
        <v>89.722222222222214</v>
      </c>
      <c r="C1834" s="44">
        <f t="shared" si="51"/>
        <v>0.21990959752321984</v>
      </c>
      <c r="D1834" s="10">
        <f t="shared" si="54"/>
        <v>19.730777777777778</v>
      </c>
      <c r="E1834" s="13">
        <v>90.8</v>
      </c>
      <c r="F1834" s="10">
        <f>AVERAGE($E$1829:E1834)</f>
        <v>90.933333333333337</v>
      </c>
      <c r="G1834" s="44">
        <v>0.23200000000000001</v>
      </c>
      <c r="H1834" s="10">
        <f t="shared" si="52"/>
        <v>21.0656</v>
      </c>
      <c r="I1834" s="11">
        <v>3156</v>
      </c>
      <c r="J1834" s="11">
        <v>-2000</v>
      </c>
      <c r="K1834" s="11">
        <v>-478</v>
      </c>
      <c r="L1834" s="11">
        <f t="shared" si="49"/>
        <v>-2478</v>
      </c>
      <c r="M1834" s="11">
        <f t="shared" si="50"/>
        <v>678</v>
      </c>
    </row>
    <row r="1835" spans="1:18">
      <c r="A1835" s="7">
        <v>45664</v>
      </c>
      <c r="B1835" s="8">
        <f t="shared" si="53"/>
        <v>89.666666666666657</v>
      </c>
      <c r="C1835" s="44">
        <f t="shared" si="51"/>
        <v>0.21955018587360597</v>
      </c>
      <c r="D1835" s="10">
        <f t="shared" si="54"/>
        <v>19.686333333333334</v>
      </c>
      <c r="E1835" s="13">
        <v>90.9</v>
      </c>
      <c r="F1835" s="10">
        <f>AVERAGE($E$1829:E1835)</f>
        <v>90.928571428571431</v>
      </c>
      <c r="G1835" s="44">
        <v>0.23</v>
      </c>
      <c r="H1835" s="10">
        <f t="shared" si="52"/>
        <v>20.907000000000004</v>
      </c>
      <c r="I1835" s="11">
        <v>3114</v>
      </c>
      <c r="J1835" s="11">
        <v>-2000</v>
      </c>
      <c r="K1835" s="11">
        <v>-1131</v>
      </c>
      <c r="L1835" s="11">
        <f t="shared" si="49"/>
        <v>-3131</v>
      </c>
      <c r="M1835" s="11">
        <f t="shared" si="50"/>
        <v>-17</v>
      </c>
    </row>
    <row r="1836" spans="1:18">
      <c r="A1836" s="7">
        <v>45665</v>
      </c>
      <c r="B1836" s="8">
        <f t="shared" si="53"/>
        <v>89.6111111111111</v>
      </c>
      <c r="C1836" s="44">
        <f t="shared" si="51"/>
        <v>0.21919032858028523</v>
      </c>
      <c r="D1836" s="10">
        <f t="shared" si="54"/>
        <v>19.641888888888889</v>
      </c>
      <c r="E1836" s="13">
        <v>90.9</v>
      </c>
      <c r="F1836" s="10">
        <f>AVERAGE($E$1829:E1836)</f>
        <v>90.924999999999997</v>
      </c>
      <c r="G1836" s="44">
        <v>0.23400000000000001</v>
      </c>
      <c r="H1836" s="10">
        <f t="shared" si="52"/>
        <v>21.270600000000002</v>
      </c>
      <c r="I1836" s="11">
        <v>2098</v>
      </c>
      <c r="J1836" s="11">
        <v>-2000</v>
      </c>
      <c r="K1836" s="11">
        <v>-1365</v>
      </c>
      <c r="L1836" s="11">
        <f t="shared" si="49"/>
        <v>-3365</v>
      </c>
      <c r="M1836" s="11">
        <f t="shared" si="50"/>
        <v>-1267</v>
      </c>
    </row>
    <row r="1837" spans="1:18">
      <c r="A1837" s="7">
        <v>45666</v>
      </c>
      <c r="B1837" s="8">
        <f t="shared" si="53"/>
        <v>89.555555555555543</v>
      </c>
      <c r="C1837" s="44">
        <f t="shared" si="51"/>
        <v>0.21883002481389582</v>
      </c>
      <c r="D1837" s="10">
        <f t="shared" si="54"/>
        <v>19.597444444444445</v>
      </c>
      <c r="E1837" s="13">
        <v>89.9</v>
      </c>
      <c r="F1837" s="10">
        <f>AVERAGE($E$1829:E1837)</f>
        <v>90.811111111111103</v>
      </c>
      <c r="G1837" s="44">
        <v>0.22800000000000001</v>
      </c>
      <c r="H1837" s="10">
        <f t="shared" si="52"/>
        <v>20.497200000000003</v>
      </c>
      <c r="I1837" s="11">
        <v>2017</v>
      </c>
      <c r="J1837" s="11">
        <v>-2000</v>
      </c>
      <c r="K1837" s="11">
        <v>-1464</v>
      </c>
      <c r="L1837" s="11">
        <f t="shared" si="49"/>
        <v>-3464</v>
      </c>
      <c r="M1837" s="11">
        <f t="shared" si="50"/>
        <v>-1447</v>
      </c>
    </row>
    <row r="1838" spans="1:18">
      <c r="A1838" s="7">
        <v>45667</v>
      </c>
      <c r="B1838" s="8">
        <f t="shared" si="53"/>
        <v>89.499999999999986</v>
      </c>
      <c r="C1838" s="44">
        <f t="shared" si="51"/>
        <v>0.21846927374301681</v>
      </c>
      <c r="D1838" s="10">
        <f t="shared" si="54"/>
        <v>19.553000000000001</v>
      </c>
      <c r="E1838" s="13">
        <v>89.2</v>
      </c>
      <c r="F1838" s="10">
        <f>AVERAGE($E$1829:E1838)</f>
        <v>90.65</v>
      </c>
      <c r="G1838" s="44">
        <v>0.222</v>
      </c>
      <c r="H1838" s="10">
        <f t="shared" si="52"/>
        <v>19.802400000000002</v>
      </c>
      <c r="I1838" s="11">
        <v>2088</v>
      </c>
      <c r="J1838" s="11">
        <v>-2000</v>
      </c>
      <c r="K1838" s="11">
        <v>-780</v>
      </c>
      <c r="L1838" s="11">
        <f t="shared" si="49"/>
        <v>-2780</v>
      </c>
      <c r="M1838" s="11">
        <f t="shared" si="50"/>
        <v>-692</v>
      </c>
    </row>
    <row r="1839" spans="1:18">
      <c r="A1839" s="7">
        <v>45668</v>
      </c>
      <c r="B1839" s="8">
        <f t="shared" si="53"/>
        <v>89.444444444444429</v>
      </c>
      <c r="C1839" s="44">
        <f t="shared" si="51"/>
        <v>0.21810807453416153</v>
      </c>
      <c r="D1839" s="10">
        <f t="shared" si="54"/>
        <v>19.508555555555557</v>
      </c>
      <c r="E1839" s="13">
        <v>88.9</v>
      </c>
      <c r="F1839" s="10">
        <f>AVERAGE($E$1829:E1839)</f>
        <v>90.490909090909085</v>
      </c>
      <c r="G1839" s="44">
        <v>0.22900000000000001</v>
      </c>
      <c r="H1839" s="10">
        <f t="shared" si="52"/>
        <v>20.358100000000004</v>
      </c>
      <c r="I1839" s="11">
        <v>2588</v>
      </c>
      <c r="J1839" s="11">
        <v>-2000</v>
      </c>
      <c r="K1839" s="11">
        <v>-1204</v>
      </c>
      <c r="L1839" s="11">
        <f t="shared" si="49"/>
        <v>-3204</v>
      </c>
      <c r="M1839" s="11">
        <f t="shared" si="50"/>
        <v>-616</v>
      </c>
    </row>
    <row r="1840" spans="1:18">
      <c r="A1840" s="7">
        <v>45669</v>
      </c>
      <c r="B1840" s="8">
        <f t="shared" si="53"/>
        <v>89.388888888888872</v>
      </c>
      <c r="C1840" s="44">
        <f t="shared" si="51"/>
        <v>0.21774642635177135</v>
      </c>
      <c r="D1840" s="10">
        <f t="shared" si="54"/>
        <v>19.464111111111112</v>
      </c>
      <c r="E1840" s="13">
        <v>89.2</v>
      </c>
      <c r="F1840" s="10">
        <f>AVERAGE($E$1829:E1840)</f>
        <v>90.383333333333326</v>
      </c>
      <c r="G1840" s="44">
        <v>0.22900000000000001</v>
      </c>
      <c r="H1840" s="10">
        <f t="shared" si="52"/>
        <v>20.4268</v>
      </c>
      <c r="I1840" s="11">
        <v>3161</v>
      </c>
      <c r="J1840" s="11">
        <v>-2000</v>
      </c>
      <c r="K1840" s="11">
        <v>-800</v>
      </c>
      <c r="L1840" s="11">
        <f t="shared" si="49"/>
        <v>-2800</v>
      </c>
      <c r="M1840" s="11">
        <f t="shared" si="50"/>
        <v>361</v>
      </c>
    </row>
    <row r="1841" spans="1:13">
      <c r="A1841" s="7">
        <v>45670</v>
      </c>
      <c r="B1841" s="8">
        <f t="shared" si="53"/>
        <v>89.333333333333314</v>
      </c>
      <c r="C1841" s="44">
        <f t="shared" si="51"/>
        <v>0.21738432835820901</v>
      </c>
      <c r="D1841" s="10">
        <f t="shared" si="54"/>
        <v>19.419666666666668</v>
      </c>
      <c r="E1841" s="13">
        <v>89.4</v>
      </c>
      <c r="F1841" s="10">
        <f>AVERAGE($E$1829:E1841)</f>
        <v>90.307692307692307</v>
      </c>
      <c r="G1841" s="44">
        <v>0.22800000000000001</v>
      </c>
      <c r="H1841" s="10">
        <f t="shared" si="52"/>
        <v>20.383200000000002</v>
      </c>
      <c r="I1841" s="11">
        <v>2299</v>
      </c>
      <c r="J1841" s="11">
        <v>-2000</v>
      </c>
      <c r="K1841" s="11">
        <v>-718</v>
      </c>
      <c r="L1841" s="11">
        <f t="shared" si="49"/>
        <v>-2718</v>
      </c>
      <c r="M1841" s="11">
        <f t="shared" si="50"/>
        <v>-419</v>
      </c>
    </row>
    <row r="1842" spans="1:13">
      <c r="A1842" s="7">
        <v>45671</v>
      </c>
      <c r="B1842" s="8">
        <f t="shared" si="53"/>
        <v>89.277777777777757</v>
      </c>
      <c r="C1842" s="44">
        <f t="shared" si="51"/>
        <v>0.21702177971375239</v>
      </c>
      <c r="D1842" s="10">
        <f t="shared" si="54"/>
        <v>19.375222222222224</v>
      </c>
      <c r="E1842" s="13">
        <v>88.7</v>
      </c>
      <c r="F1842" s="10">
        <f>AVERAGE($E$1829:E1842)</f>
        <v>90.19285714285715</v>
      </c>
      <c r="G1842" s="44">
        <v>0.23100000000000001</v>
      </c>
      <c r="H1842" s="10">
        <f t="shared" si="52"/>
        <v>20.489700000000003</v>
      </c>
      <c r="I1842" s="11">
        <v>2833</v>
      </c>
      <c r="J1842" s="11">
        <v>-2000</v>
      </c>
      <c r="K1842" s="11">
        <v>-1454</v>
      </c>
      <c r="L1842" s="11">
        <f t="shared" si="49"/>
        <v>-3454</v>
      </c>
      <c r="M1842" s="11">
        <f t="shared" si="50"/>
        <v>-621</v>
      </c>
    </row>
    <row r="1843" spans="1:13">
      <c r="A1843" s="7">
        <v>45672</v>
      </c>
      <c r="B1843" s="8">
        <f t="shared" si="53"/>
        <v>89.2222222222222</v>
      </c>
      <c r="C1843" s="44">
        <f t="shared" si="51"/>
        <v>0.21665877957658786</v>
      </c>
      <c r="D1843" s="10">
        <f t="shared" si="54"/>
        <v>19.330777777777779</v>
      </c>
      <c r="E1843" s="13">
        <v>89.5</v>
      </c>
      <c r="F1843" s="10">
        <f>AVERAGE($E$1829:E1843)</f>
        <v>90.146666666666675</v>
      </c>
      <c r="G1843" s="44">
        <v>0.219</v>
      </c>
      <c r="H1843" s="10">
        <f t="shared" si="52"/>
        <v>19.6005</v>
      </c>
      <c r="I1843" s="11">
        <v>2041</v>
      </c>
      <c r="J1843" s="11">
        <v>-2000</v>
      </c>
      <c r="K1843" s="11">
        <v>-648</v>
      </c>
      <c r="L1843" s="11">
        <f t="shared" si="49"/>
        <v>-2648</v>
      </c>
      <c r="M1843" s="11">
        <f t="shared" si="50"/>
        <v>-607</v>
      </c>
    </row>
    <row r="1844" spans="1:13">
      <c r="A1844" s="7">
        <v>45673</v>
      </c>
      <c r="B1844" s="8">
        <f t="shared" si="53"/>
        <v>89.166666666666643</v>
      </c>
      <c r="C1844" s="44">
        <f t="shared" si="51"/>
        <v>0.2162953271028038</v>
      </c>
      <c r="D1844" s="10">
        <f t="shared" si="54"/>
        <v>19.286333333333335</v>
      </c>
      <c r="E1844" s="13">
        <v>88.6</v>
      </c>
      <c r="F1844" s="10">
        <f>AVERAGE($E$1829:E1844)</f>
        <v>90.05</v>
      </c>
      <c r="G1844" s="44">
        <v>0.22600000000000001</v>
      </c>
      <c r="H1844" s="10">
        <f t="shared" si="52"/>
        <v>20.023599999999998</v>
      </c>
      <c r="I1844" s="11">
        <v>2009</v>
      </c>
      <c r="J1844" s="11">
        <v>-2000</v>
      </c>
      <c r="K1844" s="11">
        <v>-1114</v>
      </c>
      <c r="L1844" s="11">
        <f t="shared" si="49"/>
        <v>-3114</v>
      </c>
      <c r="M1844" s="11">
        <f t="shared" si="50"/>
        <v>-1105</v>
      </c>
    </row>
    <row r="1845" spans="1:13">
      <c r="A1845" s="7">
        <v>45674</v>
      </c>
      <c r="B1845" s="8">
        <f t="shared" si="53"/>
        <v>89.111111111111086</v>
      </c>
      <c r="C1845" s="44">
        <f t="shared" si="51"/>
        <v>0.21593142144638414</v>
      </c>
      <c r="D1845" s="10">
        <f t="shared" si="54"/>
        <v>19.241888888888891</v>
      </c>
      <c r="E1845" s="13">
        <v>88</v>
      </c>
      <c r="F1845" s="10">
        <f>AVERAGE($E$1829:E1845)</f>
        <v>89.929411764705875</v>
      </c>
      <c r="G1845" s="44">
        <v>0.217</v>
      </c>
      <c r="H1845" s="10">
        <f t="shared" si="52"/>
        <v>19.096</v>
      </c>
      <c r="I1845" s="11">
        <v>2977</v>
      </c>
      <c r="J1845" s="11">
        <v>-2000</v>
      </c>
      <c r="K1845" s="11">
        <v>-1164</v>
      </c>
      <c r="L1845" s="11">
        <f t="shared" si="49"/>
        <v>-3164</v>
      </c>
      <c r="M1845" s="11">
        <f t="shared" si="50"/>
        <v>-187</v>
      </c>
    </row>
    <row r="1846" spans="1:13">
      <c r="A1846" s="7">
        <v>45675</v>
      </c>
      <c r="B1846" s="8">
        <f t="shared" si="53"/>
        <v>89.055555555555529</v>
      </c>
      <c r="C1846" s="44">
        <f t="shared" si="51"/>
        <v>0.21556706175920159</v>
      </c>
      <c r="D1846" s="10">
        <f t="shared" si="54"/>
        <v>19.197444444444447</v>
      </c>
      <c r="E1846" s="13">
        <v>88.1</v>
      </c>
      <c r="F1846" s="10">
        <f>AVERAGE($E$1829:E1846)</f>
        <v>89.827777777777769</v>
      </c>
      <c r="G1846" s="44">
        <v>0.221</v>
      </c>
      <c r="H1846" s="10">
        <f t="shared" si="52"/>
        <v>19.470099999999999</v>
      </c>
      <c r="I1846" s="11">
        <v>2105</v>
      </c>
      <c r="J1846" s="11">
        <v>-2000</v>
      </c>
      <c r="K1846" s="11">
        <v>-657</v>
      </c>
      <c r="L1846" s="11">
        <f t="shared" si="49"/>
        <v>-2657</v>
      </c>
      <c r="M1846" s="11">
        <f t="shared" si="50"/>
        <v>-552</v>
      </c>
    </row>
    <row r="1847" spans="1:13">
      <c r="A1847" s="7">
        <v>45676</v>
      </c>
      <c r="B1847" s="8">
        <f t="shared" si="53"/>
        <v>88.999999999999972</v>
      </c>
      <c r="C1847" s="44">
        <f t="shared" si="51"/>
        <v>0.21520224719101133</v>
      </c>
      <c r="D1847" s="10">
        <f t="shared" si="54"/>
        <v>19.153000000000002</v>
      </c>
      <c r="E1847" s="13">
        <v>88.1</v>
      </c>
      <c r="F1847" s="10">
        <f>AVERAGE($E$1829:E1847)</f>
        <v>89.73684210526315</v>
      </c>
      <c r="G1847" s="44">
        <v>0.218</v>
      </c>
      <c r="H1847" s="10">
        <f t="shared" si="52"/>
        <v>19.2058</v>
      </c>
      <c r="I1847" s="11">
        <v>2626</v>
      </c>
      <c r="J1847" s="11">
        <v>-2000</v>
      </c>
      <c r="K1847" s="11">
        <v>-1142</v>
      </c>
      <c r="L1847" s="11">
        <f t="shared" si="49"/>
        <v>-3142</v>
      </c>
      <c r="M1847" s="11">
        <f t="shared" si="50"/>
        <v>-516</v>
      </c>
    </row>
    <row r="1848" spans="1:13">
      <c r="A1848" s="7">
        <v>45677</v>
      </c>
      <c r="B1848" s="8">
        <f t="shared" si="53"/>
        <v>88.944444444444414</v>
      </c>
      <c r="C1848" s="44">
        <f t="shared" si="51"/>
        <v>0.2148369768894442</v>
      </c>
      <c r="D1848" s="10">
        <f t="shared" si="54"/>
        <v>19.108555555555558</v>
      </c>
      <c r="E1848" s="13">
        <v>88.1</v>
      </c>
      <c r="F1848" s="10">
        <f>AVERAGE($E$1829:E1848)</f>
        <v>89.654999999999987</v>
      </c>
      <c r="G1848" s="44">
        <f>19.2/E1848</f>
        <v>0.21793416572077184</v>
      </c>
      <c r="H1848" s="10">
        <f t="shared" si="52"/>
        <v>19.2</v>
      </c>
      <c r="I1848" s="11">
        <v>2105</v>
      </c>
      <c r="J1848" s="11">
        <v>-2000</v>
      </c>
      <c r="K1848" s="11">
        <v>-736</v>
      </c>
      <c r="L1848" s="11">
        <f t="shared" si="49"/>
        <v>-2736</v>
      </c>
      <c r="M1848" s="11">
        <f t="shared" si="50"/>
        <v>-631</v>
      </c>
    </row>
    <row r="1849" spans="1:13">
      <c r="A1849" s="7">
        <v>45678</v>
      </c>
      <c r="B1849" s="8">
        <f t="shared" si="53"/>
        <v>88.888888888888857</v>
      </c>
      <c r="C1849" s="44">
        <f t="shared" si="51"/>
        <v>0.21447125000000011</v>
      </c>
      <c r="D1849" s="10">
        <f t="shared" si="54"/>
        <v>19.064111111111114</v>
      </c>
      <c r="E1849" s="13">
        <v>88</v>
      </c>
      <c r="F1849" s="10">
        <f>AVERAGE($E$1829:E1849)</f>
        <v>89.576190476190462</v>
      </c>
      <c r="G1849" s="44">
        <v>0.214</v>
      </c>
      <c r="H1849" s="10">
        <f t="shared" si="52"/>
        <v>18.832000000000001</v>
      </c>
      <c r="I1849" s="11">
        <v>2565</v>
      </c>
      <c r="J1849" s="11">
        <v>-2000</v>
      </c>
      <c r="K1849" s="11">
        <v>-1243</v>
      </c>
      <c r="L1849" s="11">
        <f t="shared" ref="L1849:L1912" si="55">SUM(J1849:K1849)</f>
        <v>-3243</v>
      </c>
      <c r="M1849" s="11">
        <f t="shared" ref="M1849:M1912" si="56">I1849+J1849+K1849</f>
        <v>-678</v>
      </c>
    </row>
    <row r="1850" spans="1:13">
      <c r="A1850" s="7">
        <v>45679</v>
      </c>
      <c r="B1850" s="8">
        <f t="shared" si="53"/>
        <v>88.8333333333333</v>
      </c>
      <c r="C1850" s="44">
        <f t="shared" si="51"/>
        <v>0.2141050656660414</v>
      </c>
      <c r="D1850" s="10">
        <f t="shared" si="54"/>
        <v>19.019666666666669</v>
      </c>
      <c r="E1850" s="13">
        <v>88</v>
      </c>
      <c r="F1850" s="10">
        <f>AVERAGE($E$1829:E1850)</f>
        <v>89.504545454545436</v>
      </c>
      <c r="G1850" s="44">
        <v>0.21</v>
      </c>
      <c r="H1850" s="10">
        <f t="shared" si="52"/>
        <v>18.48</v>
      </c>
      <c r="I1850" s="11">
        <v>2356</v>
      </c>
      <c r="J1850" s="11">
        <v>-2000</v>
      </c>
      <c r="K1850" s="11">
        <v>-720</v>
      </c>
      <c r="L1850" s="11">
        <f t="shared" si="55"/>
        <v>-2720</v>
      </c>
      <c r="M1850" s="11">
        <f t="shared" si="56"/>
        <v>-364</v>
      </c>
    </row>
    <row r="1851" spans="1:13">
      <c r="A1851" s="7">
        <v>45680</v>
      </c>
      <c r="B1851" s="8">
        <f t="shared" si="53"/>
        <v>88.777777777777743</v>
      </c>
      <c r="C1851" s="44">
        <f t="shared" si="51"/>
        <v>0.2137384230287861</v>
      </c>
      <c r="D1851" s="10">
        <f t="shared" si="54"/>
        <v>18.975222222222225</v>
      </c>
      <c r="E1851" s="13">
        <v>87.1</v>
      </c>
      <c r="F1851" s="10">
        <f>AVERAGE($E$1829:E1851)</f>
        <v>89.399999999999991</v>
      </c>
      <c r="G1851" s="44">
        <v>0.214</v>
      </c>
      <c r="H1851" s="10">
        <f t="shared" si="52"/>
        <v>18.639399999999998</v>
      </c>
      <c r="I1851" s="11">
        <v>2319</v>
      </c>
      <c r="J1851" s="11">
        <v>-2000</v>
      </c>
      <c r="K1851" s="11">
        <v>-1420</v>
      </c>
      <c r="L1851" s="11">
        <f t="shared" si="55"/>
        <v>-3420</v>
      </c>
      <c r="M1851" s="11">
        <f t="shared" si="56"/>
        <v>-1101</v>
      </c>
    </row>
    <row r="1852" spans="1:13">
      <c r="A1852" s="7">
        <v>45681</v>
      </c>
      <c r="B1852" s="8">
        <f t="shared" si="53"/>
        <v>88.722222222222186</v>
      </c>
      <c r="C1852" s="44">
        <f t="shared" si="51"/>
        <v>0.21337132122730132</v>
      </c>
      <c r="D1852" s="10">
        <f t="shared" si="54"/>
        <v>18.930777777777781</v>
      </c>
      <c r="E1852" s="13">
        <v>86.7</v>
      </c>
      <c r="F1852" s="10">
        <f>AVERAGE($E$1829:E1852)</f>
        <v>89.28749999999998</v>
      </c>
      <c r="G1852" s="44">
        <v>0.22</v>
      </c>
      <c r="H1852" s="10">
        <f t="shared" si="52"/>
        <v>19.074000000000002</v>
      </c>
      <c r="I1852" s="11">
        <v>2784</v>
      </c>
      <c r="J1852" s="11">
        <v>-2000</v>
      </c>
      <c r="K1852" s="11">
        <v>-664</v>
      </c>
      <c r="L1852" s="11">
        <f t="shared" si="55"/>
        <v>-2664</v>
      </c>
      <c r="M1852" s="11">
        <f t="shared" si="56"/>
        <v>120</v>
      </c>
    </row>
    <row r="1853" spans="1:13">
      <c r="A1853" s="7">
        <v>45682</v>
      </c>
      <c r="B1853" s="8">
        <f t="shared" si="53"/>
        <v>88.666666666666629</v>
      </c>
      <c r="C1853" s="44">
        <f t="shared" si="51"/>
        <v>0.21300375939849636</v>
      </c>
      <c r="D1853" s="10">
        <f t="shared" si="54"/>
        <v>18.886333333333337</v>
      </c>
      <c r="E1853" s="13">
        <v>87.6</v>
      </c>
      <c r="F1853" s="10">
        <f>AVERAGE($E$1829:E1853)</f>
        <v>89.219999999999985</v>
      </c>
      <c r="G1853" s="44">
        <v>0.218</v>
      </c>
      <c r="H1853" s="10">
        <f t="shared" si="52"/>
        <v>19.096799999999998</v>
      </c>
      <c r="I1853" s="11">
        <v>2923</v>
      </c>
      <c r="J1853" s="11">
        <v>-2000</v>
      </c>
      <c r="K1853" s="11">
        <v>-828</v>
      </c>
      <c r="L1853" s="11">
        <f t="shared" si="55"/>
        <v>-2828</v>
      </c>
      <c r="M1853" s="11">
        <f t="shared" si="56"/>
        <v>95</v>
      </c>
    </row>
    <row r="1854" spans="1:13">
      <c r="A1854" s="7">
        <v>45683</v>
      </c>
      <c r="B1854" s="8">
        <f t="shared" si="53"/>
        <v>88.611111111111072</v>
      </c>
      <c r="C1854" s="44">
        <f t="shared" si="51"/>
        <v>0.21263573667711613</v>
      </c>
      <c r="D1854" s="10">
        <f t="shared" si="54"/>
        <v>18.841888888888892</v>
      </c>
      <c r="E1854" s="13">
        <v>88.7</v>
      </c>
      <c r="F1854" s="10">
        <f>AVERAGE($E$1829:E1854)</f>
        <v>89.199999999999974</v>
      </c>
      <c r="G1854" s="44">
        <v>0.21099999999999999</v>
      </c>
      <c r="H1854" s="10">
        <f t="shared" si="52"/>
        <v>18.715699999999998</v>
      </c>
      <c r="I1854" s="11">
        <v>3356</v>
      </c>
      <c r="J1854" s="11">
        <v>-2000</v>
      </c>
      <c r="K1854" s="11">
        <v>-977</v>
      </c>
      <c r="L1854" s="11">
        <f t="shared" si="55"/>
        <v>-2977</v>
      </c>
      <c r="M1854" s="11">
        <f t="shared" si="56"/>
        <v>379</v>
      </c>
    </row>
    <row r="1855" spans="1:13">
      <c r="A1855" s="7">
        <v>45684</v>
      </c>
      <c r="B1855" s="8">
        <f t="shared" si="53"/>
        <v>88.555555555555515</v>
      </c>
      <c r="C1855" s="44">
        <f t="shared" si="51"/>
        <v>0.21226725219573414</v>
      </c>
      <c r="D1855" s="10">
        <f t="shared" si="54"/>
        <v>18.797444444444448</v>
      </c>
      <c r="E1855" s="13">
        <v>88.6</v>
      </c>
      <c r="F1855" s="10">
        <f>AVERAGE($E$1829:E1855)</f>
        <v>89.177777777777749</v>
      </c>
      <c r="G1855" s="44">
        <v>0.21299999999999999</v>
      </c>
      <c r="H1855" s="10">
        <f t="shared" si="52"/>
        <v>18.871799999999997</v>
      </c>
      <c r="I1855" s="11">
        <v>2210</v>
      </c>
      <c r="J1855" s="11">
        <v>-2000</v>
      </c>
      <c r="K1855" s="11">
        <v>-1098</v>
      </c>
      <c r="L1855" s="11">
        <f t="shared" si="55"/>
        <v>-3098</v>
      </c>
      <c r="M1855" s="11">
        <f t="shared" si="56"/>
        <v>-888</v>
      </c>
    </row>
    <row r="1856" spans="1:13">
      <c r="A1856" s="7">
        <v>45685</v>
      </c>
      <c r="B1856" s="8">
        <f t="shared" si="53"/>
        <v>88.499999999999957</v>
      </c>
      <c r="C1856" s="44">
        <f t="shared" si="51"/>
        <v>0.21189830508474591</v>
      </c>
      <c r="D1856" s="10">
        <f t="shared" si="54"/>
        <v>18.753000000000004</v>
      </c>
      <c r="E1856" s="13">
        <v>87.7</v>
      </c>
      <c r="F1856" s="10">
        <f>AVERAGE($E$1829:E1856)</f>
        <v>89.124999999999972</v>
      </c>
      <c r="G1856" s="44">
        <v>0.21</v>
      </c>
      <c r="H1856" s="10">
        <f t="shared" si="52"/>
        <v>18.417000000000002</v>
      </c>
      <c r="I1856" s="11">
        <v>2035</v>
      </c>
      <c r="J1856" s="11">
        <v>-2000</v>
      </c>
      <c r="K1856" s="11">
        <v>-925</v>
      </c>
      <c r="L1856" s="11">
        <f t="shared" si="55"/>
        <v>-2925</v>
      </c>
      <c r="M1856" s="11">
        <f t="shared" si="56"/>
        <v>-890</v>
      </c>
    </row>
    <row r="1857" spans="1:21">
      <c r="A1857" s="7">
        <v>45686</v>
      </c>
      <c r="B1857" s="8">
        <f t="shared" si="53"/>
        <v>88.4444444444444</v>
      </c>
      <c r="C1857" s="44">
        <f t="shared" si="51"/>
        <v>0.21152889447236195</v>
      </c>
      <c r="D1857" s="10">
        <f t="shared" si="54"/>
        <v>18.708555555555559</v>
      </c>
      <c r="E1857" s="13">
        <v>87.6</v>
      </c>
      <c r="F1857" s="10">
        <f>AVERAGE($E$1829:E1857)</f>
        <v>89.072413793103408</v>
      </c>
      <c r="G1857" s="44">
        <v>0.21099999999999999</v>
      </c>
      <c r="H1857" s="10">
        <f t="shared" si="52"/>
        <v>18.483599999999999</v>
      </c>
      <c r="I1857" s="11">
        <v>2614</v>
      </c>
      <c r="J1857" s="11">
        <v>-2000</v>
      </c>
      <c r="K1857" s="11">
        <v>-1221</v>
      </c>
      <c r="L1857" s="11">
        <f t="shared" si="55"/>
        <v>-3221</v>
      </c>
      <c r="M1857" s="11">
        <f t="shared" si="56"/>
        <v>-607</v>
      </c>
    </row>
    <row r="1858" spans="1:21">
      <c r="A1858" s="7">
        <v>45687</v>
      </c>
      <c r="B1858" s="8">
        <f t="shared" si="53"/>
        <v>88.388888888888843</v>
      </c>
      <c r="C1858" s="44">
        <f t="shared" si="51"/>
        <v>0.21115901948460103</v>
      </c>
      <c r="D1858" s="10">
        <f t="shared" si="54"/>
        <v>18.664111111111115</v>
      </c>
      <c r="E1858" s="13">
        <v>87.9</v>
      </c>
      <c r="F1858" s="10">
        <f>AVERAGE($E$1829:E1858)</f>
        <v>89.033333333333303</v>
      </c>
      <c r="G1858" s="44">
        <v>0.214</v>
      </c>
      <c r="H1858" s="10">
        <f t="shared" si="52"/>
        <v>18.810600000000001</v>
      </c>
      <c r="I1858" s="11">
        <v>3417</v>
      </c>
      <c r="J1858" s="11">
        <v>-2000</v>
      </c>
      <c r="K1858" s="11">
        <v>-637</v>
      </c>
      <c r="L1858" s="11">
        <f t="shared" si="55"/>
        <v>-2637</v>
      </c>
      <c r="M1858" s="11">
        <f t="shared" si="56"/>
        <v>780</v>
      </c>
    </row>
    <row r="1859" spans="1:21">
      <c r="A1859" s="7">
        <v>45688</v>
      </c>
      <c r="B1859" s="8">
        <f t="shared" si="53"/>
        <v>88.333333333333286</v>
      </c>
      <c r="C1859" s="44">
        <f t="shared" si="51"/>
        <v>0.21078867924528319</v>
      </c>
      <c r="D1859" s="10">
        <f t="shared" si="54"/>
        <v>18.619666666666671</v>
      </c>
      <c r="E1859" s="13">
        <v>86.9</v>
      </c>
      <c r="F1859" s="10">
        <f>AVERAGE($E$1829:E1859)</f>
        <v>88.964516129032233</v>
      </c>
      <c r="G1859" s="44">
        <v>0.219</v>
      </c>
      <c r="H1859" s="10">
        <f t="shared" si="52"/>
        <v>19.031100000000002</v>
      </c>
      <c r="I1859" s="11">
        <v>2858</v>
      </c>
      <c r="J1859" s="11">
        <v>-2000</v>
      </c>
      <c r="K1859" s="11">
        <v>-1040</v>
      </c>
      <c r="L1859" s="11">
        <f t="shared" si="55"/>
        <v>-3040</v>
      </c>
      <c r="M1859" s="11">
        <f t="shared" si="56"/>
        <v>-182</v>
      </c>
    </row>
    <row r="1860" spans="1:21">
      <c r="A1860" s="7">
        <v>45689</v>
      </c>
      <c r="B1860" s="8">
        <f>B1859-(4/90)-1.3</f>
        <v>86.988888888888837</v>
      </c>
      <c r="C1860" s="44">
        <f t="shared" si="51"/>
        <v>0.21353557287009853</v>
      </c>
      <c r="D1860" s="10">
        <f t="shared" si="54"/>
        <v>18.575222222222227</v>
      </c>
      <c r="E1860" s="13">
        <v>87.3</v>
      </c>
      <c r="F1860" s="10">
        <f>AVERAGE($E$1829:E1860)</f>
        <v>88.91249999999998</v>
      </c>
      <c r="G1860" s="44">
        <v>0.219</v>
      </c>
      <c r="H1860" s="10">
        <f t="shared" si="52"/>
        <v>19.1187</v>
      </c>
      <c r="I1860" s="11">
        <v>2607</v>
      </c>
      <c r="J1860" s="11">
        <v>-2000</v>
      </c>
      <c r="K1860" s="11">
        <v>-645</v>
      </c>
      <c r="L1860" s="11">
        <f t="shared" si="55"/>
        <v>-2645</v>
      </c>
      <c r="M1860" s="11">
        <f t="shared" si="56"/>
        <v>-38</v>
      </c>
      <c r="Q1860" s="13"/>
      <c r="R1860" s="10"/>
      <c r="S1860" s="44"/>
      <c r="T1860" s="10"/>
      <c r="U1860" s="44"/>
    </row>
    <row r="1861" spans="1:21">
      <c r="A1861" s="7">
        <v>45690</v>
      </c>
      <c r="B1861" s="8">
        <f>B1860-(4/90)</f>
        <v>86.944444444444386</v>
      </c>
      <c r="C1861" s="44">
        <f t="shared" si="51"/>
        <v>0.21313354632587878</v>
      </c>
      <c r="D1861" s="10">
        <f t="shared" si="54"/>
        <v>18.530777777777782</v>
      </c>
      <c r="E1861" s="13">
        <v>88</v>
      </c>
      <c r="F1861" s="10">
        <f>AVERAGE($E$1829:E1861)</f>
        <v>88.884848484848462</v>
      </c>
      <c r="G1861" s="44">
        <v>0.214</v>
      </c>
      <c r="H1861" s="10">
        <f t="shared" si="52"/>
        <v>18.832000000000001</v>
      </c>
      <c r="I1861" s="11">
        <v>2603</v>
      </c>
      <c r="J1861" s="11">
        <v>-2000</v>
      </c>
      <c r="K1861" s="11">
        <v>-1062</v>
      </c>
      <c r="L1861" s="11">
        <f t="shared" si="55"/>
        <v>-3062</v>
      </c>
      <c r="M1861" s="11">
        <f t="shared" si="56"/>
        <v>-459</v>
      </c>
    </row>
    <row r="1862" spans="1:21">
      <c r="A1862" s="7">
        <v>45691</v>
      </c>
      <c r="B1862" s="8">
        <f t="shared" ref="B1862:B1925" si="57">B1861-(4/90)</f>
        <v>86.899999999999935</v>
      </c>
      <c r="C1862" s="44">
        <f t="shared" si="51"/>
        <v>0.21273110855389357</v>
      </c>
      <c r="D1862" s="10">
        <f t="shared" si="54"/>
        <v>18.486333333333338</v>
      </c>
      <c r="E1862" s="13">
        <v>87.2</v>
      </c>
      <c r="F1862" s="10">
        <f>AVERAGE($E$1829:E1862)</f>
        <v>88.835294117647038</v>
      </c>
      <c r="G1862" s="44">
        <v>0.218</v>
      </c>
      <c r="H1862" s="10">
        <f t="shared" si="52"/>
        <v>19.009599999999999</v>
      </c>
      <c r="I1862" s="11">
        <v>2375</v>
      </c>
      <c r="J1862" s="11">
        <v>-2000</v>
      </c>
      <c r="K1862" s="11">
        <v>-1002</v>
      </c>
      <c r="L1862" s="11">
        <f t="shared" si="55"/>
        <v>-3002</v>
      </c>
      <c r="M1862" s="11">
        <f t="shared" si="56"/>
        <v>-627</v>
      </c>
    </row>
    <row r="1863" spans="1:21">
      <c r="A1863" s="7">
        <v>45692</v>
      </c>
      <c r="B1863" s="8">
        <f t="shared" si="57"/>
        <v>86.855555555555483</v>
      </c>
      <c r="C1863" s="44">
        <f t="shared" si="51"/>
        <v>0.21232825892286067</v>
      </c>
      <c r="D1863" s="10">
        <f t="shared" si="54"/>
        <v>18.441888888888894</v>
      </c>
      <c r="E1863" s="13">
        <v>87</v>
      </c>
      <c r="F1863" s="10">
        <f>AVERAGE($E$1829:E1863)</f>
        <v>88.782857142857125</v>
      </c>
      <c r="G1863" s="44">
        <v>0.214</v>
      </c>
      <c r="H1863" s="10">
        <f t="shared" si="52"/>
        <v>18.617999999999999</v>
      </c>
      <c r="I1863" s="11">
        <v>3187</v>
      </c>
      <c r="J1863" s="11">
        <v>-2000</v>
      </c>
      <c r="K1863" s="11">
        <v>-898</v>
      </c>
      <c r="L1863" s="11">
        <f t="shared" si="55"/>
        <v>-2898</v>
      </c>
      <c r="M1863" s="11">
        <f t="shared" si="56"/>
        <v>289</v>
      </c>
    </row>
    <row r="1864" spans="1:21">
      <c r="A1864" s="7">
        <v>45693</v>
      </c>
      <c r="B1864" s="8">
        <f t="shared" si="57"/>
        <v>86.811111111111032</v>
      </c>
      <c r="C1864" s="44">
        <f t="shared" si="51"/>
        <v>0.21192499680020505</v>
      </c>
      <c r="D1864" s="10">
        <f t="shared" si="54"/>
        <v>18.397444444444449</v>
      </c>
      <c r="E1864" s="13">
        <v>86.7</v>
      </c>
      <c r="F1864" s="10">
        <f>AVERAGE($E$1829:E1864)</f>
        <v>88.724999999999966</v>
      </c>
      <c r="G1864" s="44">
        <v>0.218</v>
      </c>
      <c r="H1864" s="10">
        <f t="shared" si="52"/>
        <v>18.900600000000001</v>
      </c>
      <c r="I1864" s="11">
        <v>1917</v>
      </c>
      <c r="J1864" s="11">
        <v>-2000</v>
      </c>
      <c r="K1864" s="11">
        <v>-1296</v>
      </c>
      <c r="L1864" s="11">
        <f t="shared" si="55"/>
        <v>-3296</v>
      </c>
      <c r="M1864" s="11">
        <f t="shared" si="56"/>
        <v>-1379</v>
      </c>
    </row>
    <row r="1865" spans="1:21">
      <c r="A1865" s="7">
        <v>45694</v>
      </c>
      <c r="B1865" s="8">
        <f t="shared" si="57"/>
        <v>86.76666666666658</v>
      </c>
      <c r="C1865" s="44">
        <f t="shared" si="51"/>
        <v>0.21152132155205558</v>
      </c>
      <c r="D1865" s="10">
        <f t="shared" si="54"/>
        <v>18.353000000000005</v>
      </c>
      <c r="E1865" s="13">
        <v>86.8</v>
      </c>
      <c r="F1865" s="10">
        <f>AVERAGE($E$1829:E1865)</f>
        <v>88.672972972972957</v>
      </c>
      <c r="G1865" s="44">
        <v>0.214</v>
      </c>
      <c r="H1865" s="10">
        <f t="shared" si="52"/>
        <v>18.575199999999999</v>
      </c>
      <c r="I1865" s="11">
        <v>2253</v>
      </c>
      <c r="J1865" s="11">
        <v>-2000</v>
      </c>
      <c r="K1865" s="11">
        <v>-800</v>
      </c>
      <c r="L1865" s="11">
        <f t="shared" si="55"/>
        <v>-2800</v>
      </c>
      <c r="M1865" s="11">
        <f t="shared" si="56"/>
        <v>-547</v>
      </c>
    </row>
    <row r="1866" spans="1:21">
      <c r="A1866" s="7">
        <v>45695</v>
      </c>
      <c r="B1866" s="8">
        <f t="shared" si="57"/>
        <v>86.722222222222129</v>
      </c>
      <c r="C1866" s="44">
        <f t="shared" si="51"/>
        <v>0.2111172325432418</v>
      </c>
      <c r="D1866" s="10">
        <f t="shared" si="54"/>
        <v>18.308555555555561</v>
      </c>
      <c r="E1866" s="13">
        <v>86.8</v>
      </c>
      <c r="F1866" s="10">
        <f>AVERAGE($E$1829:E1866)</f>
        <v>88.623684210526292</v>
      </c>
      <c r="G1866" s="44">
        <v>0.214</v>
      </c>
      <c r="H1866" s="10">
        <f t="shared" si="52"/>
        <v>18.575199999999999</v>
      </c>
      <c r="I1866" s="11">
        <v>2227</v>
      </c>
      <c r="J1866" s="11">
        <v>-2000</v>
      </c>
      <c r="K1866" s="11">
        <v>-658</v>
      </c>
      <c r="L1866" s="11">
        <f t="shared" si="55"/>
        <v>-2658</v>
      </c>
      <c r="M1866" s="11">
        <f t="shared" si="56"/>
        <v>-431</v>
      </c>
    </row>
    <row r="1867" spans="1:21">
      <c r="A1867" s="7">
        <v>45696</v>
      </c>
      <c r="B1867" s="8">
        <f t="shared" si="57"/>
        <v>86.677777777777678</v>
      </c>
      <c r="C1867" s="44">
        <f t="shared" si="51"/>
        <v>0.21071272913729039</v>
      </c>
      <c r="D1867" s="10">
        <f t="shared" si="54"/>
        <v>18.264111111111117</v>
      </c>
      <c r="E1867" s="13">
        <v>86.7</v>
      </c>
      <c r="F1867" s="10">
        <f>AVERAGE($E$1829:E1867)</f>
        <v>88.574358974358958</v>
      </c>
      <c r="G1867" s="44">
        <v>0.21299999999999999</v>
      </c>
      <c r="H1867" s="10">
        <f t="shared" si="52"/>
        <v>18.467099999999999</v>
      </c>
      <c r="I1867" s="11">
        <v>2476</v>
      </c>
      <c r="J1867" s="11">
        <v>-2000</v>
      </c>
      <c r="K1867" s="11">
        <v>-1324</v>
      </c>
      <c r="L1867" s="11">
        <f t="shared" si="55"/>
        <v>-3324</v>
      </c>
      <c r="M1867" s="11">
        <f t="shared" si="56"/>
        <v>-848</v>
      </c>
    </row>
    <row r="1868" spans="1:21">
      <c r="A1868" s="7">
        <v>45697</v>
      </c>
      <c r="B1868" s="8">
        <f t="shared" si="57"/>
        <v>86.633333333333226</v>
      </c>
      <c r="C1868" s="44">
        <f t="shared" si="51"/>
        <v>0.21030781069642202</v>
      </c>
      <c r="D1868" s="10">
        <f t="shared" si="54"/>
        <v>18.219666666666672</v>
      </c>
      <c r="E1868" s="13">
        <v>86.2</v>
      </c>
      <c r="F1868" s="10">
        <f>AVERAGE($E$1829:E1868)</f>
        <v>88.514999999999972</v>
      </c>
      <c r="G1868" s="44">
        <v>0.214</v>
      </c>
      <c r="H1868" s="10">
        <f t="shared" si="52"/>
        <v>18.4468</v>
      </c>
      <c r="I1868" s="11">
        <v>1715</v>
      </c>
      <c r="J1868" s="11">
        <v>-2000</v>
      </c>
      <c r="K1868" s="11">
        <v>-971</v>
      </c>
      <c r="L1868" s="11">
        <f t="shared" si="55"/>
        <v>-2971</v>
      </c>
      <c r="M1868" s="11">
        <f>I1869+J1868+K1868</f>
        <v>-1011</v>
      </c>
    </row>
    <row r="1869" spans="1:21">
      <c r="A1869" s="7">
        <v>45698</v>
      </c>
      <c r="B1869" s="8">
        <f t="shared" si="57"/>
        <v>86.588888888888775</v>
      </c>
      <c r="C1869" s="44">
        <f t="shared" si="51"/>
        <v>0.2099024765815479</v>
      </c>
      <c r="D1869" s="10">
        <f t="shared" si="54"/>
        <v>18.175222222222228</v>
      </c>
      <c r="E1869" s="13">
        <v>86.7</v>
      </c>
      <c r="F1869" s="10">
        <f>AVERAGE($E$1829:E1869)</f>
        <v>88.470731707317043</v>
      </c>
      <c r="G1869" s="44">
        <v>0.21099999999999999</v>
      </c>
      <c r="H1869" s="10">
        <f t="shared" si="52"/>
        <v>18.293700000000001</v>
      </c>
      <c r="I1869" s="11">
        <v>1960</v>
      </c>
      <c r="J1869" s="11">
        <v>-2000</v>
      </c>
      <c r="K1869" s="11">
        <v>-791</v>
      </c>
      <c r="L1869" s="11">
        <f t="shared" si="55"/>
        <v>-2791</v>
      </c>
      <c r="M1869" s="11">
        <f>I1870+J1869+K1869</f>
        <v>-795</v>
      </c>
    </row>
    <row r="1870" spans="1:21">
      <c r="A1870" s="7">
        <v>45699</v>
      </c>
      <c r="B1870" s="8">
        <f t="shared" si="57"/>
        <v>86.544444444444323</v>
      </c>
      <c r="C1870" s="44">
        <f t="shared" si="51"/>
        <v>0.20949672615226639</v>
      </c>
      <c r="D1870" s="10">
        <f t="shared" si="54"/>
        <v>18.130777777777784</v>
      </c>
      <c r="E1870" s="13">
        <v>87.1</v>
      </c>
      <c r="F1870" s="10">
        <f>AVERAGE($E$1829:E1870)</f>
        <v>88.438095238095201</v>
      </c>
      <c r="G1870" s="44">
        <v>0.21099999999999999</v>
      </c>
      <c r="H1870" s="10">
        <f t="shared" si="52"/>
        <v>18.3781</v>
      </c>
      <c r="I1870" s="11">
        <v>1996</v>
      </c>
      <c r="J1870" s="11">
        <v>-2000</v>
      </c>
      <c r="K1870" s="11">
        <v>-544</v>
      </c>
      <c r="L1870" s="11">
        <f t="shared" si="55"/>
        <v>-2544</v>
      </c>
      <c r="M1870" s="11">
        <f t="shared" si="56"/>
        <v>-548</v>
      </c>
    </row>
    <row r="1871" spans="1:21">
      <c r="A1871" s="7">
        <v>45700</v>
      </c>
      <c r="B1871" s="8">
        <f t="shared" si="57"/>
        <v>86.499999999999872</v>
      </c>
      <c r="C1871" s="44">
        <f t="shared" si="51"/>
        <v>0.20909055876685972</v>
      </c>
      <c r="D1871" s="10">
        <f t="shared" si="54"/>
        <v>18.086333333333339</v>
      </c>
      <c r="E1871" s="13">
        <v>86.5</v>
      </c>
      <c r="F1871" s="10">
        <f>AVERAGE($E$1829:E1871)</f>
        <v>88.393023255813929</v>
      </c>
      <c r="G1871" s="44">
        <v>0.21199999999999999</v>
      </c>
      <c r="H1871" s="10">
        <f t="shared" si="52"/>
        <v>18.338000000000001</v>
      </c>
      <c r="I1871" s="11">
        <v>2570</v>
      </c>
      <c r="J1871" s="11">
        <v>-2000</v>
      </c>
      <c r="K1871" s="11">
        <v>-979</v>
      </c>
      <c r="L1871" s="11">
        <f t="shared" si="55"/>
        <v>-2979</v>
      </c>
      <c r="M1871" s="11">
        <f t="shared" si="56"/>
        <v>-409</v>
      </c>
    </row>
    <row r="1872" spans="1:21">
      <c r="A1872" s="7">
        <v>45701</v>
      </c>
      <c r="B1872" s="8">
        <f t="shared" si="57"/>
        <v>86.455555555555421</v>
      </c>
      <c r="C1872" s="44">
        <f t="shared" si="51"/>
        <v>0.20868397378229059</v>
      </c>
      <c r="D1872" s="10">
        <f t="shared" si="54"/>
        <v>18.041888888888895</v>
      </c>
      <c r="E1872" s="13">
        <v>86.8</v>
      </c>
      <c r="F1872" s="10">
        <f>AVERAGE($E$1829:E1872)</f>
        <v>88.356818181818156</v>
      </c>
      <c r="G1872" s="44">
        <v>0.21199999999999999</v>
      </c>
      <c r="H1872" s="10">
        <f t="shared" si="52"/>
        <v>18.401599999999998</v>
      </c>
      <c r="I1872" s="11">
        <v>3176</v>
      </c>
      <c r="J1872" s="11">
        <v>-2000</v>
      </c>
      <c r="K1872" s="11">
        <v>-1287</v>
      </c>
      <c r="L1872" s="11">
        <f t="shared" si="55"/>
        <v>-3287</v>
      </c>
      <c r="M1872" s="11">
        <f t="shared" si="56"/>
        <v>-111</v>
      </c>
    </row>
    <row r="1873" spans="1:13">
      <c r="A1873" s="7">
        <v>45702</v>
      </c>
      <c r="B1873" s="8">
        <f t="shared" si="57"/>
        <v>86.411111111110969</v>
      </c>
      <c r="C1873" s="44">
        <f t="shared" si="51"/>
        <v>0.20827697055419869</v>
      </c>
      <c r="D1873" s="10">
        <f t="shared" si="54"/>
        <v>17.997444444444451</v>
      </c>
      <c r="E1873" s="13">
        <v>85.7</v>
      </c>
      <c r="F1873" s="10">
        <f>AVERAGE($E$1829:E1873)</f>
        <v>88.297777777777753</v>
      </c>
      <c r="G1873" s="44">
        <v>0.22</v>
      </c>
      <c r="H1873" s="10">
        <f t="shared" si="52"/>
        <v>18.853999999999999</v>
      </c>
      <c r="I1873" s="11">
        <v>2665</v>
      </c>
      <c r="J1873" s="11">
        <v>-2000</v>
      </c>
      <c r="K1873" s="11">
        <v>-1118</v>
      </c>
      <c r="L1873" s="11">
        <f t="shared" si="55"/>
        <v>-3118</v>
      </c>
      <c r="M1873" s="11">
        <f t="shared" si="56"/>
        <v>-453</v>
      </c>
    </row>
    <row r="1874" spans="1:13">
      <c r="A1874" s="7">
        <v>45703</v>
      </c>
      <c r="B1874" s="8">
        <f t="shared" si="57"/>
        <v>86.366666666666518</v>
      </c>
      <c r="C1874" s="44">
        <f t="shared" si="51"/>
        <v>0.20786954843689739</v>
      </c>
      <c r="D1874" s="10">
        <f t="shared" si="54"/>
        <v>17.953000000000007</v>
      </c>
      <c r="E1874" s="13">
        <v>85.9</v>
      </c>
      <c r="F1874" s="10">
        <f>AVERAGE($E$1829:E1874)</f>
        <v>88.245652173913015</v>
      </c>
      <c r="G1874" s="44">
        <v>0.217</v>
      </c>
      <c r="H1874" s="10">
        <f t="shared" si="52"/>
        <v>18.6403</v>
      </c>
      <c r="I1874" s="11">
        <v>2349</v>
      </c>
      <c r="J1874" s="11">
        <v>-2000</v>
      </c>
      <c r="K1874" s="11">
        <v>-927</v>
      </c>
      <c r="L1874" s="11">
        <f t="shared" si="55"/>
        <v>-2927</v>
      </c>
      <c r="M1874" s="11">
        <f t="shared" si="56"/>
        <v>-578</v>
      </c>
    </row>
    <row r="1875" spans="1:13">
      <c r="A1875" s="7">
        <v>45704</v>
      </c>
      <c r="B1875" s="8">
        <f t="shared" si="57"/>
        <v>86.322222222222067</v>
      </c>
      <c r="C1875" s="44">
        <f t="shared" si="51"/>
        <v>0.20746170678337025</v>
      </c>
      <c r="D1875" s="10">
        <f t="shared" si="54"/>
        <v>17.908555555555562</v>
      </c>
      <c r="E1875" s="13">
        <v>85.9</v>
      </c>
      <c r="F1875" s="10">
        <f>AVERAGE($E$1829:E1875)</f>
        <v>88.195744680851035</v>
      </c>
      <c r="G1875" s="44">
        <v>0.217</v>
      </c>
      <c r="H1875" s="10">
        <f t="shared" si="52"/>
        <v>18.6403</v>
      </c>
      <c r="I1875" s="11">
        <v>3426</v>
      </c>
      <c r="J1875" s="11">
        <v>-2000</v>
      </c>
      <c r="K1875" s="11">
        <v>-1047</v>
      </c>
      <c r="L1875" s="11">
        <f t="shared" si="55"/>
        <v>-3047</v>
      </c>
      <c r="M1875" s="11">
        <f t="shared" si="56"/>
        <v>379</v>
      </c>
    </row>
    <row r="1876" spans="1:13">
      <c r="A1876" s="7">
        <v>45705</v>
      </c>
      <c r="B1876" s="8">
        <f t="shared" si="57"/>
        <v>86.277777777777615</v>
      </c>
      <c r="C1876" s="44">
        <f t="shared" si="51"/>
        <v>0.2070534449452677</v>
      </c>
      <c r="D1876" s="10">
        <f t="shared" si="54"/>
        <v>17.864111111111118</v>
      </c>
      <c r="E1876" s="13">
        <v>87.2</v>
      </c>
      <c r="F1876" s="10">
        <f>AVERAGE($E$1829:E1876)</f>
        <v>88.174999999999969</v>
      </c>
      <c r="G1876" s="44">
        <v>0.21299999999999999</v>
      </c>
      <c r="H1876" s="10">
        <f t="shared" si="52"/>
        <v>18.573599999999999</v>
      </c>
      <c r="I1876" s="11">
        <v>1829</v>
      </c>
      <c r="J1876" s="11">
        <v>-2000</v>
      </c>
      <c r="K1876" s="11">
        <v>-964</v>
      </c>
      <c r="L1876" s="11">
        <f t="shared" si="55"/>
        <v>-2964</v>
      </c>
      <c r="M1876" s="11">
        <f t="shared" si="56"/>
        <v>-1135</v>
      </c>
    </row>
    <row r="1877" spans="1:13">
      <c r="A1877" s="7">
        <v>45706</v>
      </c>
      <c r="B1877" s="8">
        <f t="shared" si="57"/>
        <v>86.233333333333164</v>
      </c>
      <c r="C1877" s="44">
        <f t="shared" si="51"/>
        <v>0.20664476227290346</v>
      </c>
      <c r="D1877" s="10">
        <f t="shared" si="54"/>
        <v>17.819666666666674</v>
      </c>
      <c r="E1877" s="13">
        <v>86.2</v>
      </c>
      <c r="F1877" s="10">
        <f>AVERAGE($E$1829:E1877)</f>
        <v>88.134693877550987</v>
      </c>
      <c r="G1877" s="44">
        <v>0.215</v>
      </c>
      <c r="H1877" s="10">
        <f t="shared" si="52"/>
        <v>18.533000000000001</v>
      </c>
      <c r="I1877" s="11">
        <v>2377</v>
      </c>
      <c r="J1877" s="11">
        <v>-2000</v>
      </c>
      <c r="K1877" s="11">
        <v>-942</v>
      </c>
      <c r="L1877" s="11">
        <f t="shared" si="55"/>
        <v>-2942</v>
      </c>
      <c r="M1877" s="11">
        <f t="shared" si="56"/>
        <v>-565</v>
      </c>
    </row>
    <row r="1878" spans="1:13">
      <c r="A1878" s="7">
        <v>45707</v>
      </c>
      <c r="B1878" s="8">
        <f t="shared" si="57"/>
        <v>86.188888888888712</v>
      </c>
      <c r="C1878" s="44">
        <f t="shared" si="51"/>
        <v>0.20623565811525124</v>
      </c>
      <c r="D1878" s="10">
        <f t="shared" si="54"/>
        <v>17.775222222222229</v>
      </c>
      <c r="E1878" s="13">
        <v>85.9</v>
      </c>
      <c r="F1878" s="10">
        <f>AVERAGE($E$1829:E1878)</f>
        <v>88.089999999999961</v>
      </c>
      <c r="G1878" s="44">
        <v>0.20699999999999999</v>
      </c>
      <c r="H1878" s="10">
        <f t="shared" si="52"/>
        <v>17.781300000000002</v>
      </c>
      <c r="I1878" s="11">
        <v>1889</v>
      </c>
      <c r="J1878" s="11">
        <v>-2000</v>
      </c>
      <c r="K1878" s="11">
        <v>-1052</v>
      </c>
      <c r="L1878" s="11">
        <f t="shared" si="55"/>
        <v>-3052</v>
      </c>
      <c r="M1878" s="11">
        <f t="shared" si="56"/>
        <v>-1163</v>
      </c>
    </row>
    <row r="1879" spans="1:13">
      <c r="A1879" s="7">
        <v>45708</v>
      </c>
      <c r="B1879" s="8">
        <f t="shared" si="57"/>
        <v>86.144444444444261</v>
      </c>
      <c r="C1879" s="44">
        <f t="shared" si="51"/>
        <v>0.20582613181994119</v>
      </c>
      <c r="D1879" s="10">
        <f t="shared" si="54"/>
        <v>17.730777777777785</v>
      </c>
      <c r="E1879" s="13">
        <v>84.9</v>
      </c>
      <c r="F1879" s="10">
        <f>AVERAGE($E$1829:E1879)</f>
        <v>88.027450980392118</v>
      </c>
      <c r="G1879" s="44">
        <v>0.215</v>
      </c>
      <c r="H1879" s="10">
        <f t="shared" si="52"/>
        <v>18.253500000000003</v>
      </c>
      <c r="I1879" s="11">
        <v>2303</v>
      </c>
      <c r="J1879" s="11">
        <v>-2000</v>
      </c>
      <c r="K1879" s="11">
        <v>-521</v>
      </c>
      <c r="L1879" s="11">
        <f t="shared" si="55"/>
        <v>-2521</v>
      </c>
      <c r="M1879" s="11">
        <f t="shared" si="56"/>
        <v>-218</v>
      </c>
    </row>
    <row r="1880" spans="1:13">
      <c r="A1880" s="7">
        <v>45709</v>
      </c>
      <c r="B1880" s="8">
        <f t="shared" si="57"/>
        <v>86.09999999999981</v>
      </c>
      <c r="C1880" s="44">
        <f t="shared" si="51"/>
        <v>0.20541618273325646</v>
      </c>
      <c r="D1880" s="10">
        <f t="shared" si="54"/>
        <v>17.686333333333341</v>
      </c>
      <c r="E1880" s="13">
        <v>85.6</v>
      </c>
      <c r="F1880" s="10">
        <f>AVERAGE($E$1829:E1880)</f>
        <v>87.980769230769198</v>
      </c>
      <c r="G1880" s="44">
        <v>0.219</v>
      </c>
      <c r="H1880" s="10">
        <f t="shared" si="52"/>
        <v>18.746399999999998</v>
      </c>
      <c r="I1880" s="11">
        <v>2497</v>
      </c>
      <c r="J1880" s="11">
        <v>-2000</v>
      </c>
      <c r="K1880" s="11">
        <v>-852</v>
      </c>
      <c r="L1880" s="11">
        <f t="shared" si="55"/>
        <v>-2852</v>
      </c>
      <c r="M1880" s="11">
        <f t="shared" si="56"/>
        <v>-355</v>
      </c>
    </row>
    <row r="1881" spans="1:13">
      <c r="A1881" s="7">
        <v>45710</v>
      </c>
      <c r="B1881" s="8">
        <f t="shared" si="57"/>
        <v>86.055555555555358</v>
      </c>
      <c r="C1881" s="44">
        <f t="shared" si="51"/>
        <v>0.20500581020012967</v>
      </c>
      <c r="D1881" s="10">
        <f t="shared" si="54"/>
        <v>17.641888888888897</v>
      </c>
      <c r="E1881" s="13">
        <v>85.7</v>
      </c>
      <c r="F1881" s="10">
        <f>AVERAGE($E$1829:E1881)</f>
        <v>87.937735849056565</v>
      </c>
      <c r="G1881" s="44">
        <f>18.6/E1881</f>
        <v>0.21703617269544925</v>
      </c>
      <c r="H1881" s="10">
        <f t="shared" si="52"/>
        <v>18.600000000000001</v>
      </c>
      <c r="I1881" s="11">
        <v>2644</v>
      </c>
      <c r="J1881" s="11">
        <v>-2000</v>
      </c>
      <c r="K1881" s="11">
        <v>-654</v>
      </c>
      <c r="L1881" s="11">
        <f t="shared" si="55"/>
        <v>-2654</v>
      </c>
      <c r="M1881" s="11">
        <f t="shared" si="56"/>
        <v>-10</v>
      </c>
    </row>
    <row r="1882" spans="1:13">
      <c r="A1882" s="7">
        <v>45711</v>
      </c>
      <c r="B1882" s="8">
        <f t="shared" si="57"/>
        <v>86.011111111110907</v>
      </c>
      <c r="C1882" s="44">
        <f t="shared" si="51"/>
        <v>0.20459501356413959</v>
      </c>
      <c r="D1882" s="10">
        <f t="shared" si="54"/>
        <v>17.597444444444452</v>
      </c>
      <c r="E1882" s="13">
        <v>85.7</v>
      </c>
      <c r="F1882" s="10">
        <f>AVERAGE($E$1829:E1882)</f>
        <v>87.896296296296256</v>
      </c>
      <c r="G1882" s="44">
        <f>18.6/E1882</f>
        <v>0.21703617269544925</v>
      </c>
      <c r="H1882" s="10">
        <f t="shared" si="52"/>
        <v>18.600000000000001</v>
      </c>
      <c r="I1882" s="11">
        <v>3428</v>
      </c>
      <c r="J1882" s="11">
        <v>-2000</v>
      </c>
      <c r="K1882" s="11">
        <v>-541</v>
      </c>
      <c r="L1882" s="11">
        <f t="shared" si="55"/>
        <v>-2541</v>
      </c>
      <c r="M1882" s="11">
        <f t="shared" si="56"/>
        <v>887</v>
      </c>
    </row>
    <row r="1883" spans="1:13">
      <c r="A1883" s="7">
        <v>45712</v>
      </c>
      <c r="B1883" s="8">
        <f t="shared" si="57"/>
        <v>85.966666666666455</v>
      </c>
      <c r="C1883" s="44">
        <f t="shared" si="51"/>
        <v>0.20418379216750737</v>
      </c>
      <c r="D1883" s="10">
        <f t="shared" si="54"/>
        <v>17.553000000000008</v>
      </c>
      <c r="E1883" s="13">
        <v>85.7</v>
      </c>
      <c r="F1883" s="10">
        <f>AVERAGE($E$1829:E1883)</f>
        <v>87.856363636363596</v>
      </c>
      <c r="G1883" s="44">
        <f>18.6/E1883</f>
        <v>0.21703617269544925</v>
      </c>
      <c r="H1883" s="10">
        <f t="shared" si="52"/>
        <v>18.600000000000001</v>
      </c>
      <c r="I1883" s="11">
        <v>1831</v>
      </c>
      <c r="J1883" s="11">
        <v>-2000</v>
      </c>
      <c r="K1883" s="11">
        <v>-844</v>
      </c>
      <c r="L1883" s="11">
        <f t="shared" si="55"/>
        <v>-2844</v>
      </c>
      <c r="M1883" s="11">
        <f t="shared" si="56"/>
        <v>-1013</v>
      </c>
    </row>
    <row r="1884" spans="1:13">
      <c r="A1884" s="7">
        <v>45713</v>
      </c>
      <c r="B1884" s="8">
        <f t="shared" si="57"/>
        <v>85.922222222222004</v>
      </c>
      <c r="C1884" s="44">
        <f t="shared" si="51"/>
        <v>0.20377214535109334</v>
      </c>
      <c r="D1884" s="10">
        <f t="shared" si="54"/>
        <v>17.508555555555564</v>
      </c>
      <c r="E1884" s="13">
        <v>85.6</v>
      </c>
      <c r="F1884" s="10">
        <f>AVERAGE($E$1829:E1884)</f>
        <v>87.816071428571391</v>
      </c>
      <c r="G1884" s="44">
        <v>0.214</v>
      </c>
      <c r="H1884" s="10">
        <f t="shared" si="52"/>
        <v>18.318399999999997</v>
      </c>
      <c r="I1884" s="11">
        <v>2253</v>
      </c>
      <c r="J1884" s="11">
        <v>-2000</v>
      </c>
      <c r="K1884" s="11">
        <v>-923</v>
      </c>
      <c r="L1884" s="11">
        <f t="shared" si="55"/>
        <v>-2923</v>
      </c>
      <c r="M1884" s="11">
        <f t="shared" si="56"/>
        <v>-670</v>
      </c>
    </row>
    <row r="1885" spans="1:13">
      <c r="A1885" s="7">
        <v>45714</v>
      </c>
      <c r="B1885" s="8">
        <f t="shared" si="57"/>
        <v>85.877777777777553</v>
      </c>
      <c r="C1885" s="44">
        <f t="shared" si="51"/>
        <v>0.20336007245439316</v>
      </c>
      <c r="D1885" s="10">
        <f t="shared" si="54"/>
        <v>17.464111111111119</v>
      </c>
      <c r="E1885" s="13">
        <v>86.1</v>
      </c>
      <c r="F1885" s="10">
        <f>AVERAGE($E$1829:E1885)</f>
        <v>87.785964912280676</v>
      </c>
      <c r="G1885" s="44">
        <v>0.21199999999999999</v>
      </c>
      <c r="H1885" s="10">
        <f t="shared" si="52"/>
        <v>18.2532</v>
      </c>
      <c r="I1885" s="11">
        <v>2636</v>
      </c>
      <c r="J1885" s="11">
        <v>-2000</v>
      </c>
      <c r="K1885" s="11">
        <v>-629</v>
      </c>
      <c r="L1885" s="11">
        <f t="shared" si="55"/>
        <v>-2629</v>
      </c>
      <c r="M1885" s="11">
        <f t="shared" si="56"/>
        <v>7</v>
      </c>
    </row>
    <row r="1886" spans="1:13">
      <c r="A1886" s="7">
        <v>45715</v>
      </c>
      <c r="B1886" s="8">
        <f t="shared" si="57"/>
        <v>85.833333333333101</v>
      </c>
      <c r="C1886" s="44">
        <f t="shared" si="51"/>
        <v>0.20294757281553463</v>
      </c>
      <c r="D1886" s="10">
        <f t="shared" si="54"/>
        <v>17.419666666666675</v>
      </c>
      <c r="E1886" s="13">
        <v>87.1</v>
      </c>
      <c r="F1886" s="10">
        <f>AVERAGE($E$1829:E1886)</f>
        <v>87.77413793103446</v>
      </c>
      <c r="G1886" s="44">
        <v>0.20499999999999999</v>
      </c>
      <c r="H1886" s="10">
        <f t="shared" si="52"/>
        <v>17.855499999999999</v>
      </c>
      <c r="I1886" s="11">
        <v>4028</v>
      </c>
      <c r="J1886" s="11">
        <v>-2000</v>
      </c>
      <c r="K1886" s="11">
        <v>-830</v>
      </c>
      <c r="L1886" s="11">
        <f t="shared" si="55"/>
        <v>-2830</v>
      </c>
      <c r="M1886" s="11">
        <f t="shared" si="56"/>
        <v>1198</v>
      </c>
    </row>
    <row r="1887" spans="1:13">
      <c r="A1887" s="7">
        <v>45716</v>
      </c>
      <c r="B1887" s="8">
        <f t="shared" si="57"/>
        <v>85.78888888888865</v>
      </c>
      <c r="C1887" s="44">
        <f t="shared" si="51"/>
        <v>0.20253464577127381</v>
      </c>
      <c r="D1887" s="10">
        <f t="shared" si="54"/>
        <v>17.375222222222231</v>
      </c>
      <c r="E1887" s="13">
        <v>87.1</v>
      </c>
      <c r="F1887" s="10">
        <f>AVERAGE($E$1829:E1887)</f>
        <v>87.762711864406768</v>
      </c>
      <c r="G1887" s="44">
        <v>0.20699999999999999</v>
      </c>
      <c r="H1887" s="10">
        <f t="shared" si="52"/>
        <v>18.029699999999998</v>
      </c>
      <c r="I1887" s="11">
        <v>2392</v>
      </c>
      <c r="J1887" s="11">
        <v>-2000</v>
      </c>
      <c r="K1887" s="11">
        <v>-743</v>
      </c>
      <c r="L1887" s="11">
        <f t="shared" si="55"/>
        <v>-2743</v>
      </c>
      <c r="M1887" s="11">
        <f t="shared" si="56"/>
        <v>-351</v>
      </c>
    </row>
    <row r="1888" spans="1:13">
      <c r="A1888" s="7">
        <v>45717</v>
      </c>
      <c r="B1888" s="8">
        <f t="shared" si="57"/>
        <v>85.744444444444198</v>
      </c>
      <c r="C1888" s="44">
        <f t="shared" si="51"/>
        <v>0.20212129065699175</v>
      </c>
      <c r="D1888" s="10">
        <f t="shared" si="54"/>
        <v>17.330777777777786</v>
      </c>
      <c r="E1888" s="13">
        <v>86.8</v>
      </c>
      <c r="F1888" s="10">
        <f>AVERAGE($E$1829:E1888)</f>
        <v>87.746666666666655</v>
      </c>
      <c r="G1888" s="44">
        <v>0.21299999999999999</v>
      </c>
      <c r="H1888" s="10">
        <f t="shared" si="52"/>
        <v>18.488399999999999</v>
      </c>
      <c r="I1888" s="11">
        <v>3416</v>
      </c>
      <c r="J1888" s="11">
        <v>-2000</v>
      </c>
      <c r="K1888" s="11">
        <v>-1075</v>
      </c>
      <c r="L1888" s="11">
        <f t="shared" si="55"/>
        <v>-3075</v>
      </c>
      <c r="M1888" s="11">
        <f t="shared" si="56"/>
        <v>341</v>
      </c>
    </row>
    <row r="1889" spans="1:13">
      <c r="A1889" s="7">
        <v>45718</v>
      </c>
      <c r="B1889" s="8">
        <f t="shared" si="57"/>
        <v>85.699999999999747</v>
      </c>
      <c r="C1889" s="44">
        <f t="shared" si="51"/>
        <v>0.2017075068066907</v>
      </c>
      <c r="D1889" s="10">
        <f t="shared" si="54"/>
        <v>17.286333333333342</v>
      </c>
      <c r="E1889" s="13">
        <v>88.4</v>
      </c>
      <c r="F1889" s="10">
        <f>AVERAGE($E$1829:E1889)</f>
        <v>87.757377049180306</v>
      </c>
      <c r="G1889" s="44">
        <v>0.20699999999999999</v>
      </c>
      <c r="H1889" s="10">
        <f t="shared" si="52"/>
        <v>18.2988</v>
      </c>
      <c r="I1889" s="11">
        <v>2505</v>
      </c>
      <c r="J1889" s="11">
        <v>-2000</v>
      </c>
      <c r="K1889" s="11">
        <v>-916</v>
      </c>
      <c r="L1889" s="11">
        <f t="shared" si="55"/>
        <v>-2916</v>
      </c>
      <c r="M1889" s="11">
        <f t="shared" si="56"/>
        <v>-411</v>
      </c>
    </row>
    <row r="1890" spans="1:13">
      <c r="A1890" s="7">
        <v>45719</v>
      </c>
      <c r="B1890" s="8">
        <f t="shared" si="57"/>
        <v>85.655555555555296</v>
      </c>
      <c r="C1890" s="44">
        <f t="shared" si="51"/>
        <v>0.20129329355299072</v>
      </c>
      <c r="D1890" s="10">
        <f t="shared" si="54"/>
        <v>17.241888888888898</v>
      </c>
      <c r="E1890" s="13">
        <v>87.9</v>
      </c>
      <c r="F1890" s="10">
        <f>AVERAGE($E$1829:E1890)</f>
        <v>87.759677419354816</v>
      </c>
      <c r="G1890" s="44">
        <v>0.21</v>
      </c>
      <c r="H1890" s="10">
        <f t="shared" si="52"/>
        <v>18.459</v>
      </c>
      <c r="I1890" s="11">
        <v>1594</v>
      </c>
      <c r="J1890" s="11">
        <v>-2000</v>
      </c>
      <c r="K1890" s="11">
        <v>-896</v>
      </c>
      <c r="L1890" s="11">
        <f t="shared" si="55"/>
        <v>-2896</v>
      </c>
      <c r="M1890" s="11">
        <f t="shared" si="56"/>
        <v>-1302</v>
      </c>
    </row>
    <row r="1891" spans="1:13">
      <c r="A1891" s="7">
        <v>45720</v>
      </c>
      <c r="B1891" s="8">
        <f t="shared" si="57"/>
        <v>85.611111111110844</v>
      </c>
      <c r="C1891" s="44">
        <f t="shared" si="51"/>
        <v>0.20087865022712598</v>
      </c>
      <c r="D1891" s="10">
        <f t="shared" si="54"/>
        <v>17.197444444444454</v>
      </c>
      <c r="E1891" s="13">
        <v>86.1</v>
      </c>
      <c r="F1891" s="10">
        <f>AVERAGE($E$1829:E1891)</f>
        <v>87.73333333333332</v>
      </c>
      <c r="G1891" s="44">
        <v>0.217</v>
      </c>
      <c r="H1891" s="10">
        <f t="shared" si="52"/>
        <v>18.683699999999998</v>
      </c>
      <c r="I1891" s="11">
        <v>2621</v>
      </c>
      <c r="J1891" s="11">
        <v>-2000</v>
      </c>
      <c r="K1891" s="11">
        <v>-811</v>
      </c>
      <c r="L1891" s="11">
        <f t="shared" si="55"/>
        <v>-2811</v>
      </c>
      <c r="M1891" s="11">
        <f t="shared" si="56"/>
        <v>-190</v>
      </c>
    </row>
    <row r="1892" spans="1:13">
      <c r="A1892" s="7">
        <v>45721</v>
      </c>
      <c r="B1892" s="8">
        <f t="shared" si="57"/>
        <v>85.566666666666393</v>
      </c>
      <c r="C1892" s="44">
        <f t="shared" si="51"/>
        <v>0.20046357615894114</v>
      </c>
      <c r="D1892" s="10">
        <f t="shared" si="54"/>
        <v>17.153000000000009</v>
      </c>
      <c r="E1892" s="13">
        <v>85.7</v>
      </c>
      <c r="F1892" s="10">
        <f>AVERAGE($E$1829:E1892)</f>
        <v>87.70156249999998</v>
      </c>
      <c r="G1892" s="44">
        <v>0.217</v>
      </c>
      <c r="H1892" s="10">
        <f t="shared" si="52"/>
        <v>18.596900000000002</v>
      </c>
      <c r="I1892" s="11">
        <v>1697</v>
      </c>
      <c r="J1892" s="11">
        <v>-2000</v>
      </c>
      <c r="K1892" s="11">
        <v>-843</v>
      </c>
      <c r="L1892" s="11">
        <f t="shared" si="55"/>
        <v>-2843</v>
      </c>
      <c r="M1892" s="11">
        <f t="shared" si="56"/>
        <v>-1146</v>
      </c>
    </row>
    <row r="1893" spans="1:13">
      <c r="A1893" s="7">
        <v>45722</v>
      </c>
      <c r="B1893" s="8">
        <f t="shared" si="57"/>
        <v>85.522222222221941</v>
      </c>
      <c r="C1893" s="44">
        <f t="shared" si="51"/>
        <v>0.20004807067688787</v>
      </c>
      <c r="D1893" s="10">
        <f t="shared" si="54"/>
        <v>17.108555555555565</v>
      </c>
      <c r="E1893" s="13">
        <v>85.5</v>
      </c>
      <c r="F1893" s="10">
        <f>AVERAGE($E$1829:E1893)</f>
        <v>87.667692307692292</v>
      </c>
      <c r="G1893" s="44">
        <v>0.218</v>
      </c>
      <c r="H1893" s="10">
        <f t="shared" si="52"/>
        <v>18.638999999999999</v>
      </c>
      <c r="I1893" s="11">
        <v>2057</v>
      </c>
      <c r="J1893" s="11">
        <v>-2000</v>
      </c>
      <c r="K1893" s="11">
        <v>-776</v>
      </c>
      <c r="L1893" s="11">
        <f t="shared" si="55"/>
        <v>-2776</v>
      </c>
      <c r="M1893" s="11">
        <f t="shared" si="56"/>
        <v>-719</v>
      </c>
    </row>
    <row r="1894" spans="1:13">
      <c r="A1894" s="7">
        <v>45723</v>
      </c>
      <c r="B1894" s="8">
        <f t="shared" si="57"/>
        <v>85.47777777777749</v>
      </c>
      <c r="C1894" s="44">
        <f t="shared" ref="C1894:C1916" si="58">D1894/B1894</f>
        <v>0.19963213310802105</v>
      </c>
      <c r="D1894" s="10">
        <f t="shared" si="54"/>
        <v>17.064111111111121</v>
      </c>
      <c r="E1894" s="13">
        <v>85.6</v>
      </c>
      <c r="F1894" s="10">
        <f>AVERAGE($E$1829:E1894)</f>
        <v>87.636363636363626</v>
      </c>
      <c r="G1894" s="44">
        <v>0.214</v>
      </c>
      <c r="H1894" s="10">
        <f t="shared" ref="H1894:H1957" si="59">G1894*E1894</f>
        <v>18.318399999999997</v>
      </c>
      <c r="I1894" s="11">
        <v>3104</v>
      </c>
      <c r="J1894" s="11">
        <v>-2000</v>
      </c>
      <c r="K1894" s="11">
        <v>-900</v>
      </c>
      <c r="L1894" s="11">
        <f t="shared" si="55"/>
        <v>-2900</v>
      </c>
      <c r="M1894" s="11">
        <f t="shared" si="56"/>
        <v>204</v>
      </c>
    </row>
    <row r="1895" spans="1:13">
      <c r="A1895" s="7">
        <v>45724</v>
      </c>
      <c r="B1895" s="8">
        <f t="shared" si="57"/>
        <v>85.433333333333039</v>
      </c>
      <c r="C1895" s="44">
        <f t="shared" si="58"/>
        <v>0.19921576277799535</v>
      </c>
      <c r="D1895" s="10">
        <f t="shared" ref="D1895:D1958" si="60">D1894-(4/90)</f>
        <v>17.019666666666676</v>
      </c>
      <c r="E1895" s="13">
        <v>86.6</v>
      </c>
      <c r="F1895" s="10">
        <f>AVERAGE($E$1829:E1895)</f>
        <v>87.620895522388054</v>
      </c>
      <c r="G1895" s="44">
        <v>0.21299999999999999</v>
      </c>
      <c r="H1895" s="10">
        <f t="shared" si="59"/>
        <v>18.445799999999998</v>
      </c>
      <c r="I1895" s="11">
        <v>2617</v>
      </c>
      <c r="J1895" s="11">
        <v>-2000</v>
      </c>
      <c r="K1895" s="11">
        <v>-1321</v>
      </c>
      <c r="L1895" s="11">
        <f t="shared" si="55"/>
        <v>-3321</v>
      </c>
      <c r="M1895" s="11">
        <f t="shared" si="56"/>
        <v>-704</v>
      </c>
    </row>
    <row r="1896" spans="1:13">
      <c r="A1896" s="7">
        <v>45725</v>
      </c>
      <c r="B1896" s="8">
        <f t="shared" si="57"/>
        <v>85.388888888888587</v>
      </c>
      <c r="C1896" s="44">
        <f t="shared" si="58"/>
        <v>0.19879895901106132</v>
      </c>
      <c r="D1896" s="10">
        <f t="shared" si="60"/>
        <v>16.975222222222232</v>
      </c>
      <c r="E1896" s="13">
        <v>87</v>
      </c>
      <c r="F1896" s="10">
        <f>AVERAGE($E$1829:E1896)</f>
        <v>87.611764705882351</v>
      </c>
      <c r="G1896" s="44">
        <v>0.221</v>
      </c>
      <c r="H1896" s="10">
        <f t="shared" si="59"/>
        <v>19.227</v>
      </c>
      <c r="I1896" s="11">
        <v>2744</v>
      </c>
      <c r="J1896" s="11">
        <v>-2000</v>
      </c>
      <c r="K1896" s="11">
        <v>-1180</v>
      </c>
      <c r="L1896" s="11">
        <f t="shared" si="55"/>
        <v>-3180</v>
      </c>
      <c r="M1896" s="11">
        <f t="shared" si="56"/>
        <v>-436</v>
      </c>
    </row>
    <row r="1897" spans="1:13">
      <c r="A1897" s="7">
        <v>45726</v>
      </c>
      <c r="B1897" s="8">
        <f t="shared" si="57"/>
        <v>85.344444444444136</v>
      </c>
      <c r="C1897" s="44">
        <f t="shared" si="58"/>
        <v>0.19838172113006203</v>
      </c>
      <c r="D1897" s="10">
        <f t="shared" si="60"/>
        <v>16.930777777777788</v>
      </c>
      <c r="E1897" s="13">
        <v>86.9</v>
      </c>
      <c r="F1897" s="10">
        <f>AVERAGE($E$1829:E1897)</f>
        <v>87.601449275362299</v>
      </c>
      <c r="G1897" s="44">
        <v>0.22</v>
      </c>
      <c r="H1897" s="10">
        <f t="shared" si="59"/>
        <v>19.118000000000002</v>
      </c>
      <c r="I1897" s="11">
        <v>1784</v>
      </c>
      <c r="J1897" s="11">
        <v>-2000</v>
      </c>
      <c r="K1897" s="11">
        <v>-741</v>
      </c>
      <c r="L1897" s="11">
        <f t="shared" si="55"/>
        <v>-2741</v>
      </c>
      <c r="M1897" s="11">
        <f t="shared" si="56"/>
        <v>-957</v>
      </c>
    </row>
    <row r="1898" spans="1:13">
      <c r="A1898" s="7">
        <v>45727</v>
      </c>
      <c r="B1898" s="8">
        <f t="shared" si="57"/>
        <v>85.299999999999685</v>
      </c>
      <c r="C1898" s="44">
        <f t="shared" si="58"/>
        <v>0.19796404845642915</v>
      </c>
      <c r="D1898" s="10">
        <f t="shared" si="60"/>
        <v>16.886333333333344</v>
      </c>
      <c r="E1898" s="13">
        <v>85.9</v>
      </c>
      <c r="F1898" s="10">
        <f>AVERAGE($E$1829:E1898)</f>
        <v>87.577142857142846</v>
      </c>
      <c r="G1898" s="44">
        <v>0.21099999999999999</v>
      </c>
      <c r="H1898" s="10">
        <f t="shared" si="59"/>
        <v>18.1249</v>
      </c>
      <c r="I1898" s="11">
        <v>1748</v>
      </c>
      <c r="J1898" s="11">
        <v>-2000</v>
      </c>
      <c r="K1898" s="11">
        <v>-930</v>
      </c>
      <c r="L1898" s="11">
        <f t="shared" si="55"/>
        <v>-2930</v>
      </c>
      <c r="M1898" s="11">
        <f t="shared" si="56"/>
        <v>-1182</v>
      </c>
    </row>
    <row r="1899" spans="1:13">
      <c r="A1899" s="7">
        <v>45728</v>
      </c>
      <c r="B1899" s="8">
        <f t="shared" si="57"/>
        <v>85.255555555555233</v>
      </c>
      <c r="C1899" s="44">
        <f t="shared" si="58"/>
        <v>0.19754594031017941</v>
      </c>
      <c r="D1899" s="10">
        <f t="shared" si="60"/>
        <v>16.841888888888899</v>
      </c>
      <c r="E1899" s="13">
        <v>85.5</v>
      </c>
      <c r="F1899" s="10">
        <f>AVERAGE($E$1829:E1899)</f>
        <v>87.547887323943641</v>
      </c>
      <c r="G1899" s="44">
        <v>0.223</v>
      </c>
      <c r="H1899" s="10">
        <f t="shared" si="59"/>
        <v>19.066500000000001</v>
      </c>
      <c r="I1899" s="11">
        <v>2500</v>
      </c>
      <c r="J1899" s="11">
        <v>-2000</v>
      </c>
      <c r="K1899" s="11">
        <v>-807</v>
      </c>
      <c r="L1899" s="11">
        <f t="shared" si="55"/>
        <v>-2807</v>
      </c>
      <c r="M1899" s="11">
        <f t="shared" si="56"/>
        <v>-307</v>
      </c>
    </row>
    <row r="1900" spans="1:13">
      <c r="A1900" s="7">
        <v>45729</v>
      </c>
      <c r="B1900" s="8">
        <f t="shared" si="57"/>
        <v>85.211111111110782</v>
      </c>
      <c r="C1900" s="44">
        <f t="shared" si="58"/>
        <v>0.19712739600991092</v>
      </c>
      <c r="D1900" s="10">
        <f t="shared" si="60"/>
        <v>16.797444444444455</v>
      </c>
      <c r="E1900" s="13">
        <v>85.9</v>
      </c>
      <c r="F1900" s="10">
        <f>AVERAGE($E$1829:E1900)</f>
        <v>87.524999999999977</v>
      </c>
      <c r="G1900" s="44">
        <v>0.215</v>
      </c>
      <c r="H1900" s="10">
        <f t="shared" si="59"/>
        <v>18.468500000000002</v>
      </c>
      <c r="I1900" s="11">
        <v>2500</v>
      </c>
      <c r="J1900" s="11">
        <v>-2000</v>
      </c>
      <c r="K1900" s="11">
        <v>-644</v>
      </c>
      <c r="L1900" s="11">
        <f t="shared" si="55"/>
        <v>-2644</v>
      </c>
      <c r="M1900" s="11">
        <f t="shared" si="56"/>
        <v>-144</v>
      </c>
    </row>
    <row r="1901" spans="1:13">
      <c r="A1901" s="7">
        <v>45730</v>
      </c>
      <c r="B1901" s="8">
        <f t="shared" si="57"/>
        <v>85.16666666666633</v>
      </c>
      <c r="C1901" s="44">
        <f t="shared" si="58"/>
        <v>0.19670841487279933</v>
      </c>
      <c r="D1901" s="10">
        <f t="shared" si="60"/>
        <v>16.753000000000011</v>
      </c>
      <c r="E1901" s="13">
        <v>85.9</v>
      </c>
      <c r="F1901" s="10">
        <f>AVERAGE($E$1829:E1901)</f>
        <v>87.502739726027372</v>
      </c>
      <c r="G1901" s="44">
        <v>0.215</v>
      </c>
      <c r="H1901" s="10">
        <f t="shared" si="59"/>
        <v>18.468500000000002</v>
      </c>
      <c r="I1901" s="11">
        <v>2469</v>
      </c>
      <c r="J1901" s="11">
        <v>-2000</v>
      </c>
      <c r="K1901" s="11">
        <v>-720</v>
      </c>
      <c r="L1901" s="11">
        <f t="shared" si="55"/>
        <v>-2720</v>
      </c>
      <c r="M1901" s="11">
        <f t="shared" si="56"/>
        <v>-251</v>
      </c>
    </row>
    <row r="1902" spans="1:13">
      <c r="A1902" s="7">
        <v>45731</v>
      </c>
      <c r="B1902" s="8">
        <f t="shared" si="57"/>
        <v>85.122222222221879</v>
      </c>
      <c r="C1902" s="44">
        <f t="shared" si="58"/>
        <v>0.19628899621459431</v>
      </c>
      <c r="D1902" s="10">
        <f t="shared" si="60"/>
        <v>16.708555555555566</v>
      </c>
      <c r="E1902" s="13">
        <v>85.8</v>
      </c>
      <c r="F1902" s="10">
        <f>AVERAGE($E$1829:E1902)</f>
        <v>87.479729729729712</v>
      </c>
      <c r="G1902" s="44">
        <v>0.219</v>
      </c>
      <c r="H1902" s="10">
        <f t="shared" si="59"/>
        <v>18.790199999999999</v>
      </c>
      <c r="I1902" s="11">
        <v>3189</v>
      </c>
      <c r="J1902" s="11">
        <v>-2000</v>
      </c>
      <c r="K1902" s="11">
        <v>-1048</v>
      </c>
      <c r="L1902" s="11">
        <f t="shared" si="55"/>
        <v>-3048</v>
      </c>
      <c r="M1902" s="11">
        <f t="shared" si="56"/>
        <v>141</v>
      </c>
    </row>
    <row r="1903" spans="1:13">
      <c r="A1903" s="7">
        <v>45732</v>
      </c>
      <c r="B1903" s="8">
        <f t="shared" si="57"/>
        <v>85.077777777777428</v>
      </c>
      <c r="C1903" s="44">
        <f t="shared" si="58"/>
        <v>0.19586913934961567</v>
      </c>
      <c r="D1903" s="10">
        <f t="shared" si="60"/>
        <v>16.664111111111122</v>
      </c>
      <c r="E1903" s="13">
        <v>86.5</v>
      </c>
      <c r="F1903" s="10">
        <f>AVERAGE($E$1829:E1903)</f>
        <v>87.46666666666664</v>
      </c>
      <c r="G1903" s="44">
        <v>0.219</v>
      </c>
      <c r="H1903" s="10">
        <f t="shared" si="59"/>
        <v>18.9435</v>
      </c>
      <c r="I1903" s="11">
        <v>2561</v>
      </c>
      <c r="J1903" s="11">
        <v>-2000</v>
      </c>
      <c r="K1903" s="11">
        <v>-565</v>
      </c>
      <c r="L1903" s="11">
        <f t="shared" si="55"/>
        <v>-2565</v>
      </c>
      <c r="M1903" s="11">
        <f t="shared" si="56"/>
        <v>-4</v>
      </c>
    </row>
    <row r="1904" spans="1:13">
      <c r="A1904" s="7">
        <v>45733</v>
      </c>
      <c r="B1904" s="8">
        <f t="shared" si="57"/>
        <v>85.033333333332976</v>
      </c>
      <c r="C1904" s="44">
        <f t="shared" si="58"/>
        <v>0.19544884359074968</v>
      </c>
      <c r="D1904" s="10">
        <f t="shared" si="60"/>
        <v>16.619666666666678</v>
      </c>
      <c r="E1904" s="13">
        <v>85.9</v>
      </c>
      <c r="F1904" s="10">
        <f>AVERAGE($E$1829:E1904)</f>
        <v>87.446052631578922</v>
      </c>
      <c r="G1904" s="44">
        <v>0.223</v>
      </c>
      <c r="H1904" s="10">
        <f t="shared" si="59"/>
        <v>19.155700000000003</v>
      </c>
      <c r="I1904" s="11">
        <v>2348</v>
      </c>
      <c r="J1904" s="11">
        <v>-2000</v>
      </c>
      <c r="K1904" s="11">
        <v>-549</v>
      </c>
      <c r="L1904" s="11">
        <f t="shared" si="55"/>
        <v>-2549</v>
      </c>
      <c r="M1904" s="11">
        <f t="shared" si="56"/>
        <v>-201</v>
      </c>
    </row>
    <row r="1905" spans="1:17">
      <c r="A1905" s="7">
        <v>45734</v>
      </c>
      <c r="B1905" s="8">
        <f t="shared" si="57"/>
        <v>84.988888888888525</v>
      </c>
      <c r="C1905" s="44">
        <f t="shared" si="58"/>
        <v>0.19502810824944533</v>
      </c>
      <c r="D1905" s="10">
        <f t="shared" si="60"/>
        <v>16.575222222222234</v>
      </c>
      <c r="E1905" s="13">
        <v>87</v>
      </c>
      <c r="F1905" s="10">
        <f>AVERAGE($E$1829:E1905)</f>
        <v>87.440259740259705</v>
      </c>
      <c r="G1905" s="44">
        <v>0.223</v>
      </c>
      <c r="H1905" s="10">
        <f t="shared" si="59"/>
        <v>19.401</v>
      </c>
      <c r="I1905" s="11">
        <v>2079</v>
      </c>
      <c r="J1905" s="11">
        <v>-2000</v>
      </c>
      <c r="K1905" s="11">
        <v>-493</v>
      </c>
      <c r="L1905" s="11">
        <f t="shared" si="55"/>
        <v>-2493</v>
      </c>
      <c r="M1905" s="11">
        <f t="shared" si="56"/>
        <v>-414</v>
      </c>
    </row>
    <row r="1906" spans="1:17">
      <c r="A1906" s="7">
        <v>45735</v>
      </c>
      <c r="B1906" s="8">
        <f t="shared" si="57"/>
        <v>84.944444444444073</v>
      </c>
      <c r="C1906" s="44">
        <f t="shared" si="58"/>
        <v>0.19460693263571061</v>
      </c>
      <c r="D1906" s="10">
        <f t="shared" si="60"/>
        <v>16.530777777777789</v>
      </c>
      <c r="E1906" s="13">
        <v>86.1</v>
      </c>
      <c r="F1906" s="10">
        <f>AVERAGE($E$1829:E1906)</f>
        <v>87.423076923076906</v>
      </c>
      <c r="G1906" s="44">
        <v>0.23100000000000001</v>
      </c>
      <c r="H1906" s="10">
        <f t="shared" si="59"/>
        <v>19.889099999999999</v>
      </c>
      <c r="I1906" s="11">
        <v>1341</v>
      </c>
      <c r="J1906" s="11">
        <v>-2000</v>
      </c>
      <c r="K1906" s="11">
        <v>-547</v>
      </c>
      <c r="L1906" s="11">
        <f t="shared" si="55"/>
        <v>-2547</v>
      </c>
      <c r="M1906" s="11">
        <f t="shared" si="56"/>
        <v>-1206</v>
      </c>
    </row>
    <row r="1907" spans="1:17">
      <c r="A1907" s="7">
        <v>45736</v>
      </c>
      <c r="B1907" s="8">
        <f t="shared" si="57"/>
        <v>84.899999999999622</v>
      </c>
      <c r="C1907" s="44">
        <f t="shared" si="58"/>
        <v>0.19418531605810857</v>
      </c>
      <c r="D1907" s="10">
        <f t="shared" si="60"/>
        <v>16.486333333333345</v>
      </c>
      <c r="E1907" s="13">
        <v>85.6</v>
      </c>
      <c r="F1907" s="10">
        <f>AVERAGE($E$1829:E1907)</f>
        <v>87.399999999999977</v>
      </c>
      <c r="G1907" s="44">
        <v>0.22600000000000001</v>
      </c>
      <c r="H1907" s="10">
        <f t="shared" si="59"/>
        <v>19.345600000000001</v>
      </c>
      <c r="I1907" s="11">
        <v>1746</v>
      </c>
      <c r="J1907" s="11">
        <v>-2000</v>
      </c>
      <c r="K1907" s="11">
        <v>-867</v>
      </c>
      <c r="L1907" s="11">
        <f t="shared" si="55"/>
        <v>-2867</v>
      </c>
      <c r="M1907" s="11">
        <f t="shared" si="56"/>
        <v>-1121</v>
      </c>
    </row>
    <row r="1908" spans="1:17">
      <c r="A1908" s="7">
        <v>45737</v>
      </c>
      <c r="B1908" s="8">
        <f t="shared" si="57"/>
        <v>84.855555555555171</v>
      </c>
      <c r="C1908" s="44">
        <f t="shared" si="58"/>
        <v>0.19376325782375381</v>
      </c>
      <c r="D1908" s="10">
        <f t="shared" si="60"/>
        <v>16.441888888888901</v>
      </c>
      <c r="E1908" s="13">
        <v>85.3</v>
      </c>
      <c r="F1908" s="10">
        <f>AVERAGE($E$1829:E1908)</f>
        <v>87.373749999999987</v>
      </c>
      <c r="G1908" s="44">
        <v>0.217</v>
      </c>
      <c r="H1908" s="10">
        <f t="shared" si="59"/>
        <v>18.510099999999998</v>
      </c>
      <c r="I1908" s="11">
        <v>3487</v>
      </c>
      <c r="J1908" s="11">
        <v>-2000</v>
      </c>
      <c r="K1908" s="11">
        <v>-1924</v>
      </c>
      <c r="L1908" s="11">
        <f t="shared" si="55"/>
        <v>-3924</v>
      </c>
      <c r="M1908" s="11">
        <f t="shared" si="56"/>
        <v>-437</v>
      </c>
    </row>
    <row r="1909" spans="1:17">
      <c r="A1909" s="7">
        <v>45738</v>
      </c>
      <c r="B1909" s="8">
        <f t="shared" si="57"/>
        <v>84.811111111110719</v>
      </c>
      <c r="C1909" s="44">
        <f t="shared" si="58"/>
        <v>0.19334075723830838</v>
      </c>
      <c r="D1909" s="10">
        <f t="shared" si="60"/>
        <v>16.397444444444456</v>
      </c>
      <c r="E1909" s="13">
        <v>86.3</v>
      </c>
      <c r="F1909" s="10">
        <f>AVERAGE($E$1829:E1909)</f>
        <v>87.360493827160482</v>
      </c>
      <c r="G1909" s="44">
        <v>0.218</v>
      </c>
      <c r="H1909" s="10">
        <f t="shared" si="59"/>
        <v>18.813399999999998</v>
      </c>
      <c r="I1909" s="11">
        <v>2500</v>
      </c>
      <c r="J1909" s="11">
        <v>-2000</v>
      </c>
      <c r="K1909" s="11">
        <v>-500</v>
      </c>
      <c r="L1909" s="11">
        <f t="shared" si="55"/>
        <v>-2500</v>
      </c>
      <c r="M1909" s="11">
        <f t="shared" si="56"/>
        <v>0</v>
      </c>
    </row>
    <row r="1910" spans="1:17">
      <c r="A1910" s="7">
        <v>45739</v>
      </c>
      <c r="B1910" s="8">
        <f t="shared" si="57"/>
        <v>84.766666666666268</v>
      </c>
      <c r="C1910" s="44">
        <f t="shared" si="58"/>
        <v>0.19291781360597823</v>
      </c>
      <c r="D1910" s="10">
        <f t="shared" si="60"/>
        <v>16.353000000000012</v>
      </c>
      <c r="E1910" s="13">
        <v>86</v>
      </c>
      <c r="F1910" s="10">
        <f>AVERAGE($E$1829:E1910)</f>
        <v>87.343902439024376</v>
      </c>
      <c r="G1910" s="44">
        <v>0.219</v>
      </c>
      <c r="H1910" s="10">
        <f t="shared" si="59"/>
        <v>18.834</v>
      </c>
      <c r="I1910" s="11">
        <v>2266</v>
      </c>
      <c r="J1910" s="11">
        <v>-2000</v>
      </c>
      <c r="K1910" s="11">
        <v>-845</v>
      </c>
      <c r="L1910" s="11">
        <f t="shared" si="55"/>
        <v>-2845</v>
      </c>
      <c r="M1910" s="11">
        <f t="shared" si="56"/>
        <v>-579</v>
      </c>
    </row>
    <row r="1911" spans="1:17">
      <c r="A1911" s="7">
        <v>45740</v>
      </c>
      <c r="B1911" s="8">
        <f t="shared" si="57"/>
        <v>84.722222222221816</v>
      </c>
      <c r="C1911" s="44">
        <f t="shared" si="58"/>
        <v>0.19249442622950927</v>
      </c>
      <c r="D1911" s="10">
        <f t="shared" si="60"/>
        <v>16.308555555555568</v>
      </c>
      <c r="E1911" s="13">
        <v>85.8</v>
      </c>
      <c r="F1911" s="10">
        <f>AVERAGE($E$1829:E1911)</f>
        <v>87.325301204819269</v>
      </c>
      <c r="G1911" s="44">
        <v>0.221</v>
      </c>
      <c r="H1911" s="10">
        <f t="shared" si="59"/>
        <v>18.9618</v>
      </c>
      <c r="I1911" s="11">
        <v>1700</v>
      </c>
      <c r="J1911" s="11">
        <v>-2000</v>
      </c>
      <c r="K1911" s="11">
        <v>-600</v>
      </c>
      <c r="L1911" s="11">
        <f t="shared" si="55"/>
        <v>-2600</v>
      </c>
      <c r="M1911" s="11">
        <f t="shared" si="56"/>
        <v>-900</v>
      </c>
    </row>
    <row r="1912" spans="1:17">
      <c r="A1912" s="7">
        <v>45741</v>
      </c>
      <c r="B1912" s="8">
        <f t="shared" si="57"/>
        <v>84.677777777777365</v>
      </c>
      <c r="C1912" s="44">
        <f t="shared" si="58"/>
        <v>0.19207059441018348</v>
      </c>
      <c r="D1912" s="10">
        <f t="shared" si="60"/>
        <v>16.264111111111124</v>
      </c>
      <c r="E1912" s="13">
        <v>85.5</v>
      </c>
      <c r="F1912" s="10">
        <f>AVERAGE($E$1829:E1912)</f>
        <v>87.303571428571416</v>
      </c>
      <c r="G1912" s="44">
        <v>0.224</v>
      </c>
      <c r="H1912" s="10">
        <f t="shared" si="59"/>
        <v>19.152000000000001</v>
      </c>
      <c r="I1912" s="11">
        <v>2472</v>
      </c>
      <c r="J1912" s="11">
        <v>-2000</v>
      </c>
      <c r="K1912" s="11">
        <v>-476</v>
      </c>
      <c r="L1912" s="11">
        <f t="shared" si="55"/>
        <v>-2476</v>
      </c>
      <c r="M1912" s="11">
        <f t="shared" si="56"/>
        <v>-4</v>
      </c>
    </row>
    <row r="1913" spans="1:17">
      <c r="A1913" s="7">
        <v>45742</v>
      </c>
      <c r="B1913" s="8">
        <f t="shared" si="57"/>
        <v>84.633333333332914</v>
      </c>
      <c r="C1913" s="44">
        <f t="shared" si="58"/>
        <v>0.19164631744781521</v>
      </c>
      <c r="D1913" s="10">
        <f t="shared" si="60"/>
        <v>16.219666666666679</v>
      </c>
      <c r="E1913" s="13">
        <v>86.7</v>
      </c>
      <c r="F1913" s="10">
        <f>AVERAGE($E$1829:E1913)</f>
        <v>87.29647058823528</v>
      </c>
      <c r="G1913" s="44">
        <v>0.217</v>
      </c>
      <c r="H1913" s="10">
        <f t="shared" si="59"/>
        <v>18.8139</v>
      </c>
      <c r="I1913" s="11">
        <v>2304</v>
      </c>
      <c r="J1913" s="11">
        <v>-2000</v>
      </c>
      <c r="K1913" s="11">
        <v>-762</v>
      </c>
      <c r="L1913" s="11">
        <f t="shared" ref="L1913:L1976" si="61">SUM(J1913:K1913)</f>
        <v>-2762</v>
      </c>
      <c r="M1913" s="11">
        <f t="shared" ref="M1913:M1976" si="62">I1913+J1913+K1913</f>
        <v>-458</v>
      </c>
    </row>
    <row r="1914" spans="1:17">
      <c r="A1914" s="7">
        <v>45743</v>
      </c>
      <c r="B1914" s="8">
        <f t="shared" si="57"/>
        <v>84.588888888888462</v>
      </c>
      <c r="C1914" s="44">
        <f t="shared" si="58"/>
        <v>0.1912215946407472</v>
      </c>
      <c r="D1914" s="10">
        <f t="shared" si="60"/>
        <v>16.175222222222235</v>
      </c>
      <c r="E1914" s="13">
        <v>86</v>
      </c>
      <c r="F1914" s="10">
        <f>AVERAGE($E$1829:E1914)</f>
        <v>87.281395348837194</v>
      </c>
      <c r="G1914" s="44">
        <v>0.23100000000000001</v>
      </c>
      <c r="H1914" s="10">
        <f t="shared" si="59"/>
        <v>19.866</v>
      </c>
      <c r="I1914" s="11">
        <v>1998</v>
      </c>
      <c r="J1914" s="11">
        <v>-2000</v>
      </c>
      <c r="K1914" s="11">
        <v>-551</v>
      </c>
      <c r="L1914" s="11">
        <f t="shared" si="61"/>
        <v>-2551</v>
      </c>
      <c r="M1914" s="11">
        <f t="shared" si="62"/>
        <v>-553</v>
      </c>
    </row>
    <row r="1915" spans="1:17">
      <c r="A1915" s="7">
        <v>45744</v>
      </c>
      <c r="B1915" s="8">
        <f t="shared" si="57"/>
        <v>84.544444444444011</v>
      </c>
      <c r="C1915" s="44">
        <f t="shared" si="58"/>
        <v>0.19079642528584684</v>
      </c>
      <c r="D1915" s="10">
        <f t="shared" si="60"/>
        <v>16.130777777777791</v>
      </c>
      <c r="E1915" s="13">
        <v>85.9</v>
      </c>
      <c r="F1915" s="10">
        <f>AVERAGE($E$1829:E1915)</f>
        <v>87.2655172413793</v>
      </c>
      <c r="G1915" s="44">
        <v>0.219</v>
      </c>
      <c r="H1915" s="10">
        <f t="shared" si="59"/>
        <v>18.812100000000001</v>
      </c>
      <c r="I1915" s="11">
        <v>2625</v>
      </c>
      <c r="J1915" s="11">
        <v>-2000</v>
      </c>
      <c r="K1915" s="11">
        <v>-581</v>
      </c>
      <c r="L1915" s="11">
        <f t="shared" si="61"/>
        <v>-2581</v>
      </c>
      <c r="M1915" s="11">
        <f t="shared" si="62"/>
        <v>44</v>
      </c>
    </row>
    <row r="1916" spans="1:17">
      <c r="A1916" s="7">
        <v>45745</v>
      </c>
      <c r="B1916" s="8">
        <f t="shared" si="57"/>
        <v>84.499999999999559</v>
      </c>
      <c r="C1916" s="44">
        <f t="shared" si="58"/>
        <v>0.19037080867850215</v>
      </c>
      <c r="D1916" s="10">
        <f t="shared" si="60"/>
        <v>16.086333333333346</v>
      </c>
      <c r="E1916" s="13">
        <v>86.6</v>
      </c>
      <c r="F1916" s="10">
        <f>AVERAGE($E$1829:E1916)</f>
        <v>87.257954545454538</v>
      </c>
      <c r="G1916" s="44">
        <v>0.219</v>
      </c>
      <c r="H1916" s="10">
        <f t="shared" si="59"/>
        <v>18.965399999999999</v>
      </c>
      <c r="I1916" s="11">
        <v>3034</v>
      </c>
      <c r="J1916" s="11">
        <v>-2000</v>
      </c>
      <c r="K1916" s="11">
        <v>-2094</v>
      </c>
      <c r="L1916" s="11">
        <f t="shared" si="61"/>
        <v>-4094</v>
      </c>
      <c r="M1916" s="11">
        <f t="shared" si="62"/>
        <v>-1060</v>
      </c>
    </row>
    <row r="1917" spans="1:17" s="55" customFormat="1" ht="15" thickBot="1">
      <c r="A1917" s="53">
        <v>45746</v>
      </c>
      <c r="B1917" s="8">
        <f t="shared" si="57"/>
        <v>84.455555555555108</v>
      </c>
      <c r="C1917" s="44">
        <v>0.188</v>
      </c>
      <c r="D1917" s="10">
        <f>B1917*C1917</f>
        <v>15.877644444444361</v>
      </c>
      <c r="E1917" s="13">
        <v>86.4</v>
      </c>
      <c r="F1917" s="10">
        <f>AVERAGE($E$1829:E1917)</f>
        <v>87.248314606741559</v>
      </c>
      <c r="G1917" s="44">
        <v>0.22</v>
      </c>
      <c r="H1917" s="10">
        <f t="shared" si="59"/>
        <v>19.008000000000003</v>
      </c>
      <c r="I1917" s="11">
        <v>2817</v>
      </c>
      <c r="J1917" s="11">
        <v>-2000</v>
      </c>
      <c r="K1917" s="11">
        <v>-728</v>
      </c>
      <c r="L1917" s="11">
        <f t="shared" si="61"/>
        <v>-2728</v>
      </c>
      <c r="M1917" s="11">
        <f t="shared" si="62"/>
        <v>89</v>
      </c>
      <c r="N1917" s="11"/>
      <c r="O1917" s="12"/>
      <c r="P1917" s="12"/>
      <c r="Q1917" s="54"/>
    </row>
    <row r="1918" spans="1:17">
      <c r="A1918" s="7">
        <v>45747</v>
      </c>
      <c r="B1918" s="8">
        <f t="shared" si="57"/>
        <v>84.411111111110657</v>
      </c>
      <c r="C1918" s="44">
        <f t="shared" ref="C1918:C1981" si="63">D1918/B1918</f>
        <v>0.21718941687508245</v>
      </c>
      <c r="D1918" s="10">
        <f>D1917-(4/90)+2.5</f>
        <v>18.333199999999916</v>
      </c>
      <c r="E1918" s="13">
        <v>86.2</v>
      </c>
      <c r="F1918" s="10">
        <f>AVERAGE($E$1829:E1918)</f>
        <v>87.23666666666665</v>
      </c>
      <c r="G1918" s="44">
        <v>0.216</v>
      </c>
      <c r="H1918" s="10">
        <f t="shared" si="59"/>
        <v>18.619199999999999</v>
      </c>
      <c r="I1918" s="11">
        <v>2500</v>
      </c>
      <c r="J1918" s="11">
        <v>-2000</v>
      </c>
      <c r="K1918" s="11">
        <v>-1064</v>
      </c>
      <c r="L1918" s="11">
        <f t="shared" si="61"/>
        <v>-3064</v>
      </c>
      <c r="M1918" s="11">
        <f t="shared" si="62"/>
        <v>-564</v>
      </c>
    </row>
    <row r="1919" spans="1:17">
      <c r="A1919" s="7">
        <v>45748</v>
      </c>
      <c r="B1919" s="8">
        <f t="shared" si="57"/>
        <v>84.366666666666205</v>
      </c>
      <c r="C1919" s="44">
        <f t="shared" si="63"/>
        <v>0.21677703147635999</v>
      </c>
      <c r="D1919" s="10">
        <f t="shared" si="60"/>
        <v>18.288755555555472</v>
      </c>
      <c r="E1919" s="13">
        <v>85.9</v>
      </c>
      <c r="F1919" s="10">
        <f>AVERAGE($E$1829:E1919)</f>
        <v>87.221978021978003</v>
      </c>
      <c r="G1919" s="44">
        <v>0.22</v>
      </c>
      <c r="H1919" s="10">
        <f t="shared" si="59"/>
        <v>18.898</v>
      </c>
      <c r="I1919" s="11">
        <v>2247</v>
      </c>
      <c r="J1919" s="11">
        <v>-2000</v>
      </c>
      <c r="K1919" s="11">
        <v>-587</v>
      </c>
      <c r="L1919" s="11">
        <f t="shared" si="61"/>
        <v>-2587</v>
      </c>
      <c r="M1919" s="11">
        <f t="shared" si="62"/>
        <v>-340</v>
      </c>
    </row>
    <row r="1920" spans="1:17">
      <c r="A1920" s="7">
        <v>45749</v>
      </c>
      <c r="B1920" s="8">
        <f t="shared" si="57"/>
        <v>84.322222222221754</v>
      </c>
      <c r="C1920" s="44">
        <f t="shared" si="63"/>
        <v>0.21636421135854547</v>
      </c>
      <c r="D1920" s="10">
        <f t="shared" si="60"/>
        <v>18.244311111111028</v>
      </c>
      <c r="E1920" s="13">
        <v>85.5</v>
      </c>
      <c r="F1920" s="10">
        <f>AVERAGE($E$1829:E1920)</f>
        <v>87.203260869565199</v>
      </c>
      <c r="G1920" s="44">
        <v>0.224</v>
      </c>
      <c r="H1920" s="10">
        <f t="shared" si="59"/>
        <v>19.152000000000001</v>
      </c>
      <c r="I1920" s="11">
        <v>2385</v>
      </c>
      <c r="J1920" s="11">
        <v>-2000</v>
      </c>
      <c r="K1920" s="11">
        <v>-858</v>
      </c>
      <c r="L1920" s="11">
        <f t="shared" si="61"/>
        <v>-2858</v>
      </c>
      <c r="M1920" s="11">
        <f t="shared" si="62"/>
        <v>-473</v>
      </c>
    </row>
    <row r="1921" spans="1:13">
      <c r="A1921" s="7">
        <v>45750</v>
      </c>
      <c r="B1921" s="8">
        <f t="shared" si="57"/>
        <v>84.277777777777303</v>
      </c>
      <c r="C1921" s="44">
        <f t="shared" si="63"/>
        <v>0.21595095583388288</v>
      </c>
      <c r="D1921" s="10">
        <f t="shared" si="60"/>
        <v>18.199866666666583</v>
      </c>
      <c r="E1921" s="13">
        <v>85.3</v>
      </c>
      <c r="F1921" s="10">
        <f>AVERAGE($E$1829:E1921)</f>
        <v>87.182795698924707</v>
      </c>
      <c r="G1921" s="44">
        <v>0.22700000000000001</v>
      </c>
      <c r="H1921" s="10">
        <f t="shared" si="59"/>
        <v>19.363099999999999</v>
      </c>
      <c r="I1921" s="11">
        <v>2455</v>
      </c>
      <c r="J1921" s="11">
        <v>-2000</v>
      </c>
      <c r="K1921" s="11">
        <v>-609</v>
      </c>
      <c r="L1921" s="11">
        <f t="shared" si="61"/>
        <v>-2609</v>
      </c>
      <c r="M1921" s="11">
        <f t="shared" si="62"/>
        <v>-154</v>
      </c>
    </row>
    <row r="1922" spans="1:13">
      <c r="A1922" s="7">
        <v>45751</v>
      </c>
      <c r="B1922" s="8">
        <f t="shared" si="57"/>
        <v>84.233333333332851</v>
      </c>
      <c r="C1922" s="44">
        <f t="shared" si="63"/>
        <v>0.21553726421316474</v>
      </c>
      <c r="D1922" s="10">
        <f t="shared" si="60"/>
        <v>18.155422222222139</v>
      </c>
      <c r="E1922" s="13">
        <v>86.3</v>
      </c>
      <c r="F1922" s="10">
        <f>AVERAGE($E$1829:E1922)</f>
        <v>87.173404255319127</v>
      </c>
      <c r="G1922" s="44">
        <v>0.22</v>
      </c>
      <c r="H1922" s="10">
        <f t="shared" si="59"/>
        <v>18.986000000000001</v>
      </c>
      <c r="I1922" s="11">
        <v>3210</v>
      </c>
      <c r="J1922" s="11">
        <v>-2000</v>
      </c>
      <c r="K1922" s="11">
        <v>-1069</v>
      </c>
      <c r="L1922" s="11">
        <f t="shared" si="61"/>
        <v>-3069</v>
      </c>
      <c r="M1922" s="11">
        <f t="shared" si="62"/>
        <v>141</v>
      </c>
    </row>
    <row r="1923" spans="1:13">
      <c r="A1923" s="7">
        <v>45752</v>
      </c>
      <c r="B1923" s="8">
        <f t="shared" si="57"/>
        <v>84.1888888888884</v>
      </c>
      <c r="C1923" s="44">
        <f t="shared" si="63"/>
        <v>0.21512313580572812</v>
      </c>
      <c r="D1923" s="10">
        <f t="shared" si="60"/>
        <v>18.110977777777695</v>
      </c>
      <c r="E1923" s="13">
        <v>86</v>
      </c>
      <c r="F1923" s="10">
        <f>AVERAGE($E$1829:E1923)</f>
        <v>87.161052631578926</v>
      </c>
      <c r="G1923" s="44">
        <v>0.218</v>
      </c>
      <c r="H1923" s="10">
        <f t="shared" si="59"/>
        <v>18.748000000000001</v>
      </c>
      <c r="I1923" s="11">
        <v>3175</v>
      </c>
      <c r="J1923" s="11">
        <v>-2000</v>
      </c>
      <c r="K1923" s="11">
        <v>-1845</v>
      </c>
      <c r="L1923" s="11">
        <f t="shared" si="61"/>
        <v>-3845</v>
      </c>
      <c r="M1923" s="11">
        <f t="shared" si="62"/>
        <v>-670</v>
      </c>
    </row>
    <row r="1924" spans="1:13">
      <c r="A1924" s="7">
        <v>45753</v>
      </c>
      <c r="B1924" s="8">
        <f t="shared" si="57"/>
        <v>84.144444444443948</v>
      </c>
      <c r="C1924" s="44">
        <f t="shared" si="63"/>
        <v>0.21470856991945095</v>
      </c>
      <c r="D1924" s="10">
        <f t="shared" si="60"/>
        <v>18.066533333333251</v>
      </c>
      <c r="E1924" s="13">
        <v>86.2</v>
      </c>
      <c r="F1924" s="10">
        <f>AVERAGE($E$1829:E1924)</f>
        <v>87.151041666666643</v>
      </c>
      <c r="G1924" s="44">
        <v>0.221</v>
      </c>
      <c r="H1924" s="10">
        <f t="shared" si="59"/>
        <v>19.0502</v>
      </c>
      <c r="I1924" s="11">
        <v>2279</v>
      </c>
      <c r="J1924" s="11">
        <v>-2000</v>
      </c>
      <c r="K1924" s="11">
        <v>-987</v>
      </c>
      <c r="L1924" s="11">
        <f t="shared" si="61"/>
        <v>-2987</v>
      </c>
      <c r="M1924" s="11">
        <f t="shared" si="62"/>
        <v>-708</v>
      </c>
    </row>
    <row r="1925" spans="1:13">
      <c r="A1925" s="7">
        <v>45754</v>
      </c>
      <c r="B1925" s="8">
        <f t="shared" si="57"/>
        <v>84.099999999999497</v>
      </c>
      <c r="C1925" s="44">
        <f t="shared" si="63"/>
        <v>0.21429356586074808</v>
      </c>
      <c r="D1925" s="10">
        <f t="shared" si="60"/>
        <v>18.022088888888806</v>
      </c>
      <c r="E1925" s="13">
        <v>84.8</v>
      </c>
      <c r="F1925" s="10">
        <f>AVERAGE($E$1829:E1925)</f>
        <v>87.12680412371131</v>
      </c>
      <c r="G1925" s="44">
        <v>0.222</v>
      </c>
      <c r="H1925" s="10">
        <f t="shared" si="59"/>
        <v>18.825599999999998</v>
      </c>
      <c r="I1925" s="11">
        <v>2272</v>
      </c>
      <c r="J1925" s="11">
        <v>-2000</v>
      </c>
      <c r="K1925" s="11">
        <v>-919</v>
      </c>
      <c r="L1925" s="11">
        <f t="shared" si="61"/>
        <v>-2919</v>
      </c>
      <c r="M1925" s="11">
        <f t="shared" si="62"/>
        <v>-647</v>
      </c>
    </row>
    <row r="1926" spans="1:13">
      <c r="A1926" s="7">
        <v>45755</v>
      </c>
      <c r="B1926" s="8">
        <f t="shared" ref="B1926:B1989" si="64">B1925-(4/90)</f>
        <v>84.055555555555046</v>
      </c>
      <c r="C1926" s="44">
        <f t="shared" si="63"/>
        <v>0.2138781229345674</v>
      </c>
      <c r="D1926" s="10">
        <f t="shared" si="60"/>
        <v>17.977644444444362</v>
      </c>
      <c r="E1926" s="13">
        <v>85.7</v>
      </c>
      <c r="F1926" s="10">
        <f>AVERAGE($E$1829:E1926)</f>
        <v>87.112244897959158</v>
      </c>
      <c r="G1926" s="44">
        <v>0.22</v>
      </c>
      <c r="H1926" s="10">
        <f t="shared" si="59"/>
        <v>18.853999999999999</v>
      </c>
      <c r="I1926" s="11">
        <v>2867</v>
      </c>
      <c r="J1926" s="11">
        <v>-2000</v>
      </c>
      <c r="K1926" s="11">
        <v>-963</v>
      </c>
      <c r="L1926" s="11">
        <f t="shared" si="61"/>
        <v>-2963</v>
      </c>
      <c r="M1926" s="11">
        <f t="shared" si="62"/>
        <v>-96</v>
      </c>
    </row>
    <row r="1927" spans="1:13">
      <c r="A1927" s="7">
        <v>45756</v>
      </c>
      <c r="B1927" s="8">
        <f t="shared" si="64"/>
        <v>84.011111111110594</v>
      </c>
      <c r="C1927" s="44">
        <f t="shared" si="63"/>
        <v>0.213462240444386</v>
      </c>
      <c r="D1927" s="10">
        <f t="shared" si="60"/>
        <v>17.933199999999918</v>
      </c>
      <c r="E1927" s="13">
        <v>86.6</v>
      </c>
      <c r="F1927" s="10">
        <f>AVERAGE($E$1829:E1927)</f>
        <v>87.10707070707069</v>
      </c>
      <c r="G1927" s="44">
        <v>0.218</v>
      </c>
      <c r="H1927" s="10">
        <f t="shared" si="59"/>
        <v>18.878799999999998</v>
      </c>
      <c r="I1927" s="11">
        <v>2409</v>
      </c>
      <c r="J1927" s="11">
        <v>-2000</v>
      </c>
      <c r="K1927" s="11">
        <v>-528</v>
      </c>
      <c r="L1927" s="11">
        <f t="shared" si="61"/>
        <v>-2528</v>
      </c>
      <c r="M1927" s="11">
        <f t="shared" si="62"/>
        <v>-119</v>
      </c>
    </row>
    <row r="1928" spans="1:13">
      <c r="A1928" s="7">
        <v>45757</v>
      </c>
      <c r="B1928" s="8">
        <f t="shared" si="64"/>
        <v>83.966666666666143</v>
      </c>
      <c r="C1928" s="44">
        <f t="shared" si="63"/>
        <v>0.21304591769220627</v>
      </c>
      <c r="D1928" s="10">
        <f t="shared" si="60"/>
        <v>17.888755555555473</v>
      </c>
      <c r="E1928" s="13">
        <v>85.1</v>
      </c>
      <c r="F1928" s="10">
        <f>AVERAGE($E$1829:E1928)</f>
        <v>87.086999999999989</v>
      </c>
      <c r="G1928" s="44">
        <v>0.223</v>
      </c>
      <c r="H1928" s="10">
        <f t="shared" si="59"/>
        <v>18.9773</v>
      </c>
      <c r="I1928" s="11">
        <v>2500</v>
      </c>
      <c r="J1928" s="11">
        <v>-2000</v>
      </c>
      <c r="K1928" s="11">
        <v>-500</v>
      </c>
      <c r="L1928" s="11">
        <f t="shared" si="61"/>
        <v>-2500</v>
      </c>
      <c r="M1928" s="11">
        <f t="shared" si="62"/>
        <v>0</v>
      </c>
    </row>
    <row r="1929" spans="1:13">
      <c r="A1929" s="7">
        <v>45758</v>
      </c>
      <c r="B1929" s="8">
        <f t="shared" si="64"/>
        <v>83.922222222221691</v>
      </c>
      <c r="C1929" s="44">
        <f t="shared" si="63"/>
        <v>0.21262915397855195</v>
      </c>
      <c r="D1929" s="10">
        <f t="shared" si="60"/>
        <v>17.844311111111029</v>
      </c>
      <c r="E1929" s="13">
        <v>86</v>
      </c>
      <c r="F1929" s="10">
        <f>AVERAGE($E$1829:E1929)</f>
        <v>87.076237623762367</v>
      </c>
      <c r="G1929" s="44">
        <v>0.22</v>
      </c>
      <c r="H1929" s="10">
        <f t="shared" si="59"/>
        <v>18.920000000000002</v>
      </c>
      <c r="I1929" s="11">
        <v>2732</v>
      </c>
      <c r="J1929" s="11">
        <v>-2000</v>
      </c>
      <c r="K1929" s="11">
        <v>-765</v>
      </c>
      <c r="L1929" s="11">
        <f t="shared" si="61"/>
        <v>-2765</v>
      </c>
      <c r="M1929" s="11">
        <f t="shared" si="62"/>
        <v>-33</v>
      </c>
    </row>
    <row r="1930" spans="1:13">
      <c r="A1930" s="7">
        <v>45759</v>
      </c>
      <c r="B1930" s="8">
        <f t="shared" si="64"/>
        <v>83.87777777777724</v>
      </c>
      <c r="C1930" s="44">
        <f t="shared" si="63"/>
        <v>0.21221194860246428</v>
      </c>
      <c r="D1930" s="10">
        <f t="shared" si="60"/>
        <v>17.799866666666585</v>
      </c>
      <c r="E1930" s="13">
        <v>85.9</v>
      </c>
      <c r="F1930" s="10">
        <f>AVERAGE($E$1829:E1930)</f>
        <v>87.064705882352925</v>
      </c>
      <c r="G1930" s="44">
        <v>0.221</v>
      </c>
      <c r="H1930" s="10">
        <f t="shared" si="59"/>
        <v>18.983900000000002</v>
      </c>
      <c r="I1930" s="11">
        <v>3086</v>
      </c>
      <c r="J1930" s="11">
        <v>-2000</v>
      </c>
      <c r="K1930" s="11">
        <v>-720</v>
      </c>
      <c r="L1930" s="11">
        <f t="shared" si="61"/>
        <v>-2720</v>
      </c>
      <c r="M1930" s="11">
        <f t="shared" si="62"/>
        <v>366</v>
      </c>
    </row>
    <row r="1931" spans="1:13">
      <c r="A1931" s="7">
        <v>45760</v>
      </c>
      <c r="B1931" s="8">
        <f t="shared" si="64"/>
        <v>83.833333333332789</v>
      </c>
      <c r="C1931" s="44">
        <f t="shared" si="63"/>
        <v>0.21179430086149809</v>
      </c>
      <c r="D1931" s="10">
        <f t="shared" si="60"/>
        <v>17.755422222222141</v>
      </c>
      <c r="E1931" s="13">
        <v>86.3</v>
      </c>
      <c r="F1931" s="10">
        <f>AVERAGE($E$1829:E1931)</f>
        <v>87.057281553398042</v>
      </c>
      <c r="G1931" s="44">
        <v>0.22600000000000001</v>
      </c>
      <c r="H1931" s="10">
        <f t="shared" si="59"/>
        <v>19.503799999999998</v>
      </c>
      <c r="I1931" s="11">
        <v>3699</v>
      </c>
      <c r="J1931" s="11">
        <v>-2000</v>
      </c>
      <c r="K1931" s="11">
        <v>-971</v>
      </c>
      <c r="L1931" s="11">
        <f t="shared" si="61"/>
        <v>-2971</v>
      </c>
      <c r="M1931" s="11">
        <f t="shared" si="62"/>
        <v>728</v>
      </c>
    </row>
    <row r="1932" spans="1:13">
      <c r="A1932" s="7">
        <v>45761</v>
      </c>
      <c r="B1932" s="8">
        <f t="shared" si="64"/>
        <v>83.788888888888337</v>
      </c>
      <c r="C1932" s="44">
        <f t="shared" si="63"/>
        <v>0.21137621005171769</v>
      </c>
      <c r="D1932" s="10">
        <f t="shared" si="60"/>
        <v>17.710977777777696</v>
      </c>
      <c r="E1932" s="13">
        <v>85.9</v>
      </c>
      <c r="F1932" s="10">
        <f>AVERAGE($E$1829:E1932)</f>
        <v>87.046153846153828</v>
      </c>
      <c r="G1932" s="44">
        <v>0.216</v>
      </c>
      <c r="H1932" s="10">
        <f t="shared" si="59"/>
        <v>18.554400000000001</v>
      </c>
      <c r="I1932" s="11">
        <v>2620</v>
      </c>
      <c r="J1932" s="11">
        <v>-2000</v>
      </c>
      <c r="K1932" s="11">
        <v>-900</v>
      </c>
      <c r="L1932" s="11">
        <f t="shared" si="61"/>
        <v>-2900</v>
      </c>
      <c r="M1932" s="11">
        <f t="shared" si="62"/>
        <v>-280</v>
      </c>
    </row>
    <row r="1933" spans="1:13">
      <c r="A1933" s="7">
        <v>45762</v>
      </c>
      <c r="B1933" s="8">
        <f t="shared" si="64"/>
        <v>83.744444444443886</v>
      </c>
      <c r="C1933" s="44">
        <f t="shared" si="63"/>
        <v>0.21095767546769315</v>
      </c>
      <c r="D1933" s="10">
        <f t="shared" si="60"/>
        <v>17.666533333333252</v>
      </c>
      <c r="E1933" s="13">
        <v>85.8</v>
      </c>
      <c r="F1933" s="10">
        <f>AVERAGE($E$1829:E1933)</f>
        <v>87.034285714285687</v>
      </c>
      <c r="G1933" s="44">
        <v>0.216</v>
      </c>
      <c r="H1933" s="10">
        <f t="shared" si="59"/>
        <v>18.532799999999998</v>
      </c>
      <c r="I1933" s="11">
        <v>3657</v>
      </c>
      <c r="J1933" s="11">
        <v>-2000</v>
      </c>
      <c r="K1933" s="11">
        <v>-1119</v>
      </c>
      <c r="L1933" s="11">
        <f t="shared" si="61"/>
        <v>-3119</v>
      </c>
      <c r="M1933" s="11">
        <f t="shared" si="62"/>
        <v>538</v>
      </c>
    </row>
    <row r="1934" spans="1:13">
      <c r="A1934" s="7">
        <v>45763</v>
      </c>
      <c r="B1934" s="8">
        <f t="shared" si="64"/>
        <v>83.699999999999434</v>
      </c>
      <c r="C1934" s="44">
        <f t="shared" si="63"/>
        <v>0.21053869640249614</v>
      </c>
      <c r="D1934" s="10">
        <f t="shared" si="60"/>
        <v>17.622088888888808</v>
      </c>
      <c r="E1934" s="13">
        <v>85.4</v>
      </c>
      <c r="F1934" s="10">
        <f>AVERAGE($E$1829:E1934)</f>
        <v>87.018867924528266</v>
      </c>
      <c r="G1934" s="44">
        <v>0.215</v>
      </c>
      <c r="H1934" s="10">
        <f t="shared" si="59"/>
        <v>18.361000000000001</v>
      </c>
      <c r="I1934" s="11">
        <v>2715</v>
      </c>
      <c r="J1934" s="11">
        <v>-2000</v>
      </c>
      <c r="K1934" s="11">
        <v>-806</v>
      </c>
      <c r="L1934" s="11">
        <f t="shared" si="61"/>
        <v>-2806</v>
      </c>
      <c r="M1934" s="11">
        <f t="shared" si="62"/>
        <v>-91</v>
      </c>
    </row>
    <row r="1935" spans="1:13">
      <c r="A1935" s="7">
        <v>45764</v>
      </c>
      <c r="B1935" s="8">
        <f t="shared" si="64"/>
        <v>83.655555555554983</v>
      </c>
      <c r="C1935" s="44">
        <f t="shared" si="63"/>
        <v>0.21011927214769605</v>
      </c>
      <c r="D1935" s="10">
        <f t="shared" si="60"/>
        <v>17.577644444444363</v>
      </c>
      <c r="E1935" s="13">
        <v>86</v>
      </c>
      <c r="F1935" s="10">
        <f>AVERAGE($E$1829:E1935)</f>
        <v>87.009345794392488</v>
      </c>
      <c r="G1935" s="44">
        <v>0.215</v>
      </c>
      <c r="H1935" s="10">
        <f t="shared" si="59"/>
        <v>18.489999999999998</v>
      </c>
      <c r="I1935" s="11">
        <v>2715</v>
      </c>
      <c r="J1935" s="11">
        <v>-2000</v>
      </c>
      <c r="K1935" s="11">
        <v>-500</v>
      </c>
      <c r="L1935" s="11">
        <f t="shared" si="61"/>
        <v>-2500</v>
      </c>
      <c r="M1935" s="11">
        <f t="shared" si="62"/>
        <v>215</v>
      </c>
    </row>
    <row r="1936" spans="1:13">
      <c r="A1936" s="7">
        <v>45765</v>
      </c>
      <c r="B1936" s="8">
        <f t="shared" si="64"/>
        <v>83.611111111110532</v>
      </c>
      <c r="C1936" s="44">
        <f t="shared" si="63"/>
        <v>0.20969940199335596</v>
      </c>
      <c r="D1936" s="10">
        <f t="shared" si="60"/>
        <v>17.533199999999919</v>
      </c>
      <c r="E1936" s="13">
        <v>86</v>
      </c>
      <c r="F1936" s="10">
        <f>AVERAGE($E$1829:E1936)</f>
        <v>86.999999999999972</v>
      </c>
      <c r="G1936" s="44">
        <v>0.215</v>
      </c>
      <c r="H1936" s="10">
        <f t="shared" si="59"/>
        <v>18.489999999999998</v>
      </c>
      <c r="I1936" s="11">
        <v>2827</v>
      </c>
      <c r="J1936" s="11">
        <v>-2000</v>
      </c>
      <c r="K1936" s="11">
        <v>-1199</v>
      </c>
      <c r="L1936" s="11">
        <f t="shared" si="61"/>
        <v>-3199</v>
      </c>
      <c r="M1936" s="11">
        <f t="shared" si="62"/>
        <v>-372</v>
      </c>
    </row>
    <row r="1937" spans="1:13">
      <c r="A1937" s="7">
        <v>45766</v>
      </c>
      <c r="B1937" s="8">
        <f t="shared" si="64"/>
        <v>83.56666666666608</v>
      </c>
      <c r="C1937" s="44">
        <f t="shared" si="63"/>
        <v>0.20927908522802868</v>
      </c>
      <c r="D1937" s="10">
        <f t="shared" si="60"/>
        <v>17.488755555555475</v>
      </c>
      <c r="E1937" s="13">
        <v>85.4</v>
      </c>
      <c r="F1937" s="10">
        <f>AVERAGE($E$1829:E1937)</f>
        <v>86.985321100917389</v>
      </c>
      <c r="G1937" s="44">
        <v>0.217</v>
      </c>
      <c r="H1937" s="10">
        <f t="shared" si="59"/>
        <v>18.5318</v>
      </c>
      <c r="I1937" s="11">
        <v>3551</v>
      </c>
      <c r="J1937" s="11">
        <v>-2000</v>
      </c>
      <c r="K1937" s="11">
        <v>-680</v>
      </c>
      <c r="L1937" s="11">
        <f t="shared" si="61"/>
        <v>-2680</v>
      </c>
      <c r="M1937" s="11">
        <f t="shared" si="62"/>
        <v>871</v>
      </c>
    </row>
    <row r="1938" spans="1:13">
      <c r="A1938" s="7">
        <v>45767</v>
      </c>
      <c r="B1938" s="8">
        <f t="shared" si="64"/>
        <v>83.522222222221629</v>
      </c>
      <c r="C1938" s="44">
        <f t="shared" si="63"/>
        <v>0.20885832113875269</v>
      </c>
      <c r="D1938" s="10">
        <f t="shared" si="60"/>
        <v>17.44431111111103</v>
      </c>
      <c r="E1938" s="13">
        <v>87.4</v>
      </c>
      <c r="F1938" s="10">
        <f>AVERAGE($E$1829:E1938)</f>
        <v>86.989090909090876</v>
      </c>
      <c r="G1938" s="44">
        <v>0.217</v>
      </c>
      <c r="H1938" s="10">
        <f t="shared" si="59"/>
        <v>18.965800000000002</v>
      </c>
      <c r="I1938" s="11">
        <v>5172</v>
      </c>
      <c r="J1938" s="11">
        <v>-2000</v>
      </c>
      <c r="K1938" s="11">
        <v>-591</v>
      </c>
      <c r="L1938" s="11">
        <f t="shared" si="61"/>
        <v>-2591</v>
      </c>
      <c r="M1938" s="11">
        <f t="shared" si="62"/>
        <v>2581</v>
      </c>
    </row>
    <row r="1939" spans="1:13">
      <c r="A1939" s="7">
        <v>45768</v>
      </c>
      <c r="B1939" s="8">
        <f t="shared" si="64"/>
        <v>83.477777777777177</v>
      </c>
      <c r="C1939" s="44">
        <f t="shared" si="63"/>
        <v>0.20843710901104806</v>
      </c>
      <c r="D1939" s="10">
        <f t="shared" si="60"/>
        <v>17.399866666666586</v>
      </c>
      <c r="E1939" s="13">
        <v>88.6</v>
      </c>
      <c r="F1939" s="10">
        <f>AVERAGE($E$1829:E1939)</f>
        <v>87.003603603603565</v>
      </c>
      <c r="G1939" s="44">
        <v>0.218</v>
      </c>
      <c r="H1939" s="10">
        <f t="shared" si="59"/>
        <v>19.314799999999998</v>
      </c>
      <c r="I1939" s="11">
        <v>3997</v>
      </c>
      <c r="J1939" s="11">
        <v>-2000</v>
      </c>
      <c r="K1939" s="11">
        <v>-1015</v>
      </c>
      <c r="L1939" s="11">
        <f t="shared" si="61"/>
        <v>-3015</v>
      </c>
      <c r="M1939" s="11">
        <f t="shared" si="62"/>
        <v>982</v>
      </c>
    </row>
    <row r="1940" spans="1:13">
      <c r="A1940" s="7">
        <v>45769</v>
      </c>
      <c r="B1940" s="8">
        <f t="shared" si="64"/>
        <v>83.433333333332726</v>
      </c>
      <c r="C1940" s="44">
        <f t="shared" si="63"/>
        <v>0.20801544812891251</v>
      </c>
      <c r="D1940" s="10">
        <f t="shared" si="60"/>
        <v>17.355422222222142</v>
      </c>
      <c r="E1940" s="13">
        <v>88.3</v>
      </c>
      <c r="F1940" s="10">
        <f>AVERAGE($E$1829:E1940)</f>
        <v>87.015178571428535</v>
      </c>
      <c r="G1940" s="44">
        <v>0.217</v>
      </c>
      <c r="H1940" s="10">
        <f t="shared" si="59"/>
        <v>19.161099999999998</v>
      </c>
      <c r="I1940" s="11">
        <v>2743</v>
      </c>
      <c r="J1940" s="11">
        <v>-2000</v>
      </c>
      <c r="K1940" s="11">
        <v>-669</v>
      </c>
      <c r="L1940" s="11">
        <f t="shared" si="61"/>
        <v>-2669</v>
      </c>
      <c r="M1940" s="11">
        <f t="shared" si="62"/>
        <v>74</v>
      </c>
    </row>
    <row r="1941" spans="1:13">
      <c r="A1941" s="7">
        <v>45770</v>
      </c>
      <c r="B1941" s="8">
        <f t="shared" si="64"/>
        <v>83.388888888888275</v>
      </c>
      <c r="C1941" s="44">
        <f t="shared" si="63"/>
        <v>0.20759333777481737</v>
      </c>
      <c r="D1941" s="10">
        <f t="shared" si="60"/>
        <v>17.310977777777698</v>
      </c>
      <c r="E1941" s="13">
        <v>85.8</v>
      </c>
      <c r="F1941" s="10">
        <f>AVERAGE($E$1829:E1941)</f>
        <v>87.00442477876102</v>
      </c>
      <c r="G1941" s="44">
        <v>0.221</v>
      </c>
      <c r="H1941" s="10">
        <f t="shared" si="59"/>
        <v>18.9618</v>
      </c>
      <c r="I1941" s="11">
        <v>3813</v>
      </c>
      <c r="J1941" s="11">
        <v>-2000</v>
      </c>
      <c r="K1941" s="11">
        <v>-798</v>
      </c>
      <c r="L1941" s="11">
        <f t="shared" si="61"/>
        <v>-2798</v>
      </c>
      <c r="M1941" s="11">
        <f t="shared" si="62"/>
        <v>1015</v>
      </c>
    </row>
    <row r="1942" spans="1:13">
      <c r="A1942" s="7">
        <v>45771</v>
      </c>
      <c r="B1942" s="8">
        <f t="shared" si="64"/>
        <v>83.344444444443823</v>
      </c>
      <c r="C1942" s="44">
        <f t="shared" si="63"/>
        <v>0.20717077722970328</v>
      </c>
      <c r="D1942" s="10">
        <f t="shared" si="60"/>
        <v>17.266533333333253</v>
      </c>
      <c r="E1942" s="13">
        <v>86.5</v>
      </c>
      <c r="F1942" s="10">
        <f>AVERAGE($E$1829:E1942)</f>
        <v>86.999999999999957</v>
      </c>
      <c r="G1942" s="44">
        <v>0.223</v>
      </c>
      <c r="H1942" s="10">
        <f t="shared" si="59"/>
        <v>19.2895</v>
      </c>
      <c r="I1942" s="11">
        <v>3813</v>
      </c>
      <c r="J1942" s="11">
        <v>-2000</v>
      </c>
      <c r="K1942" s="11">
        <v>-694</v>
      </c>
      <c r="L1942" s="11">
        <f t="shared" si="61"/>
        <v>-2694</v>
      </c>
      <c r="M1942" s="11">
        <f t="shared" si="62"/>
        <v>1119</v>
      </c>
    </row>
    <row r="1943" spans="1:13">
      <c r="A1943" s="7">
        <v>45772</v>
      </c>
      <c r="B1943" s="8">
        <f t="shared" si="64"/>
        <v>83.299999999999372</v>
      </c>
      <c r="C1943" s="44">
        <f t="shared" si="63"/>
        <v>0.20674776577297646</v>
      </c>
      <c r="D1943" s="10">
        <f t="shared" si="60"/>
        <v>17.222088888888809</v>
      </c>
      <c r="E1943" s="13">
        <v>86.9</v>
      </c>
      <c r="F1943" s="10">
        <f>AVERAGE($E$1829:E1943)</f>
        <v>86.999130434782558</v>
      </c>
      <c r="G1943" s="44">
        <v>0.222</v>
      </c>
      <c r="H1943" s="10">
        <f t="shared" si="59"/>
        <v>19.291800000000002</v>
      </c>
      <c r="I1943" s="11">
        <v>3286</v>
      </c>
      <c r="J1943" s="11">
        <v>-2000</v>
      </c>
      <c r="K1943" s="11">
        <v>-411</v>
      </c>
      <c r="L1943" s="11">
        <f t="shared" si="61"/>
        <v>-2411</v>
      </c>
      <c r="M1943" s="11">
        <f t="shared" si="62"/>
        <v>875</v>
      </c>
    </row>
    <row r="1944" spans="1:13">
      <c r="A1944" s="7">
        <v>45773</v>
      </c>
      <c r="B1944" s="8">
        <f t="shared" si="64"/>
        <v>83.25555555555492</v>
      </c>
      <c r="C1944" s="44">
        <f t="shared" si="63"/>
        <v>0.20632430268250429</v>
      </c>
      <c r="D1944" s="10">
        <f t="shared" si="60"/>
        <v>17.177644444444365</v>
      </c>
      <c r="E1944" s="13">
        <v>86.2</v>
      </c>
      <c r="F1944" s="10">
        <f>AVERAGE($E$1829:E1944)</f>
        <v>86.9922413793103</v>
      </c>
      <c r="G1944" s="44">
        <v>0.23</v>
      </c>
      <c r="H1944" s="10">
        <f t="shared" si="59"/>
        <v>19.826000000000001</v>
      </c>
      <c r="I1944" s="11">
        <v>3570</v>
      </c>
      <c r="J1944" s="11">
        <v>-2000</v>
      </c>
      <c r="K1944" s="11">
        <v>-621</v>
      </c>
      <c r="L1944" s="11">
        <f t="shared" si="61"/>
        <v>-2621</v>
      </c>
      <c r="M1944" s="11">
        <f t="shared" si="62"/>
        <v>949</v>
      </c>
    </row>
    <row r="1945" spans="1:13">
      <c r="A1945" s="7">
        <v>45774</v>
      </c>
      <c r="B1945" s="8">
        <f t="shared" si="64"/>
        <v>83.211111111110469</v>
      </c>
      <c r="C1945" s="44">
        <f t="shared" si="63"/>
        <v>0.2059003872346114</v>
      </c>
      <c r="D1945" s="10">
        <f t="shared" si="60"/>
        <v>17.13319999999992</v>
      </c>
      <c r="E1945" s="13">
        <v>88.5</v>
      </c>
      <c r="F1945" s="10">
        <f>AVERAGE($E$1829:E1945)</f>
        <v>87.005128205128159</v>
      </c>
      <c r="G1945" s="44">
        <v>0.218</v>
      </c>
      <c r="H1945" s="10">
        <f t="shared" si="59"/>
        <v>19.292999999999999</v>
      </c>
      <c r="I1945" s="11">
        <v>2688</v>
      </c>
      <c r="J1945" s="11">
        <v>-2000</v>
      </c>
      <c r="K1945" s="11">
        <v>-621</v>
      </c>
      <c r="L1945" s="11">
        <f t="shared" si="61"/>
        <v>-2621</v>
      </c>
      <c r="M1945" s="11">
        <f t="shared" si="62"/>
        <v>67</v>
      </c>
    </row>
    <row r="1946" spans="1:13">
      <c r="A1946" s="7">
        <v>45775</v>
      </c>
      <c r="B1946" s="8">
        <f t="shared" si="64"/>
        <v>83.166666666666018</v>
      </c>
      <c r="C1946" s="44">
        <f t="shared" si="63"/>
        <v>0.20547601870407547</v>
      </c>
      <c r="D1946" s="10">
        <f t="shared" si="60"/>
        <v>17.088755555555476</v>
      </c>
      <c r="E1946" s="13">
        <v>87</v>
      </c>
      <c r="F1946" s="10">
        <f>AVERAGE($E$1829:E1946)</f>
        <v>87.005084745762673</v>
      </c>
      <c r="G1946" s="44">
        <v>0.222</v>
      </c>
      <c r="H1946" s="10">
        <f t="shared" si="59"/>
        <v>19.314</v>
      </c>
      <c r="I1946" s="11">
        <v>2688</v>
      </c>
      <c r="J1946" s="11">
        <v>-2000</v>
      </c>
      <c r="K1946" s="11">
        <v>-666</v>
      </c>
      <c r="L1946" s="11">
        <f t="shared" si="61"/>
        <v>-2666</v>
      </c>
      <c r="M1946" s="11">
        <f t="shared" si="62"/>
        <v>22</v>
      </c>
    </row>
    <row r="1947" spans="1:13">
      <c r="A1947" s="7">
        <v>45776</v>
      </c>
      <c r="B1947" s="8">
        <f t="shared" si="64"/>
        <v>83.122222222221566</v>
      </c>
      <c r="C1947" s="44">
        <f t="shared" si="63"/>
        <v>0.20505119636412311</v>
      </c>
      <c r="D1947" s="10">
        <f t="shared" si="60"/>
        <v>17.044311111111032</v>
      </c>
      <c r="E1947" s="13">
        <v>87.1</v>
      </c>
      <c r="F1947" s="10">
        <f>AVERAGE($E$1829:E1947)</f>
        <v>87.005882352941143</v>
      </c>
      <c r="G1947" s="44">
        <v>0.22500000000000001</v>
      </c>
      <c r="H1947" s="10">
        <f t="shared" si="59"/>
        <v>19.5975</v>
      </c>
      <c r="I1947" s="11">
        <v>3000</v>
      </c>
      <c r="J1947" s="11">
        <v>-2000</v>
      </c>
      <c r="K1947" s="11">
        <v>-672</v>
      </c>
      <c r="L1947" s="11">
        <f t="shared" si="61"/>
        <v>-2672</v>
      </c>
      <c r="M1947" s="11">
        <f t="shared" si="62"/>
        <v>328</v>
      </c>
    </row>
    <row r="1948" spans="1:13">
      <c r="A1948" s="7">
        <v>45777</v>
      </c>
      <c r="B1948" s="8">
        <f t="shared" si="64"/>
        <v>83.077777777777115</v>
      </c>
      <c r="C1948" s="44">
        <f t="shared" si="63"/>
        <v>0.20462591948642572</v>
      </c>
      <c r="D1948" s="10">
        <f t="shared" si="60"/>
        <v>16.999866666666588</v>
      </c>
      <c r="E1948" s="13">
        <v>87</v>
      </c>
      <c r="F1948" s="10">
        <f>AVERAGE($E$1829:E1948)</f>
        <v>87.0058333333333</v>
      </c>
      <c r="G1948" s="44">
        <v>0.22500000000000001</v>
      </c>
      <c r="H1948" s="10">
        <f t="shared" si="59"/>
        <v>19.574999999999999</v>
      </c>
      <c r="I1948" s="11">
        <v>3000</v>
      </c>
      <c r="J1948" s="11">
        <v>-2000</v>
      </c>
      <c r="K1948" s="11">
        <v>-510</v>
      </c>
      <c r="L1948" s="11">
        <f t="shared" si="61"/>
        <v>-2510</v>
      </c>
      <c r="M1948" s="11">
        <f t="shared" si="62"/>
        <v>490</v>
      </c>
    </row>
    <row r="1949" spans="1:13">
      <c r="A1949" s="7">
        <v>45778</v>
      </c>
      <c r="B1949" s="8">
        <f t="shared" si="64"/>
        <v>83.033333333332664</v>
      </c>
      <c r="C1949" s="44">
        <f t="shared" si="63"/>
        <v>0.2042001873410953</v>
      </c>
      <c r="D1949" s="10">
        <f t="shared" si="60"/>
        <v>16.955422222222143</v>
      </c>
      <c r="E1949" s="13">
        <v>86.9</v>
      </c>
      <c r="F1949" s="10">
        <f>AVERAGE($E$1829:E1949)</f>
        <v>87.004958677685906</v>
      </c>
      <c r="G1949" s="44">
        <v>0.22500000000000001</v>
      </c>
      <c r="H1949" s="10">
        <f t="shared" si="59"/>
        <v>19.552500000000002</v>
      </c>
      <c r="I1949" s="11">
        <v>3000</v>
      </c>
      <c r="J1949" s="11">
        <v>-2000</v>
      </c>
      <c r="K1949" s="11">
        <v>-508</v>
      </c>
      <c r="L1949" s="11">
        <f t="shared" si="61"/>
        <v>-2508</v>
      </c>
      <c r="M1949" s="11">
        <f t="shared" si="62"/>
        <v>492</v>
      </c>
    </row>
    <row r="1950" spans="1:13">
      <c r="A1950" s="7">
        <v>45779</v>
      </c>
      <c r="B1950" s="8">
        <f t="shared" si="64"/>
        <v>82.988888888888212</v>
      </c>
      <c r="C1950" s="44">
        <f t="shared" si="63"/>
        <v>0.20377399919668032</v>
      </c>
      <c r="D1950" s="10">
        <f t="shared" si="60"/>
        <v>16.910977777777699</v>
      </c>
      <c r="E1950" s="13">
        <f>E1949+0.5</f>
        <v>87.4</v>
      </c>
      <c r="F1950" s="10">
        <f>AVERAGE($E$1829:E1950)</f>
        <v>87.008196721311435</v>
      </c>
      <c r="G1950" s="44">
        <v>0.22600000000000001</v>
      </c>
      <c r="H1950" s="10">
        <f t="shared" si="59"/>
        <v>19.752400000000002</v>
      </c>
      <c r="I1950" s="11">
        <v>3000</v>
      </c>
      <c r="J1950" s="11">
        <v>-2000</v>
      </c>
      <c r="K1950" s="11">
        <v>-416</v>
      </c>
      <c r="L1950" s="11">
        <f t="shared" si="61"/>
        <v>-2416</v>
      </c>
      <c r="M1950" s="11">
        <f t="shared" si="62"/>
        <v>584</v>
      </c>
    </row>
    <row r="1951" spans="1:13">
      <c r="A1951" s="7">
        <v>45780</v>
      </c>
      <c r="B1951" s="8">
        <f t="shared" si="64"/>
        <v>82.944444444443761</v>
      </c>
      <c r="C1951" s="44">
        <f t="shared" si="63"/>
        <v>0.20334735432016149</v>
      </c>
      <c r="D1951" s="10">
        <f t="shared" si="60"/>
        <v>16.866533333333255</v>
      </c>
      <c r="E1951" s="13">
        <f>E1950+0.5</f>
        <v>87.9</v>
      </c>
      <c r="F1951" s="10">
        <f>AVERAGE($E$1829:E1951)</f>
        <v>87.015447154471502</v>
      </c>
      <c r="G1951" s="44">
        <v>0.22700000000000001</v>
      </c>
      <c r="H1951" s="10">
        <f t="shared" si="59"/>
        <v>19.953300000000002</v>
      </c>
      <c r="I1951" s="11">
        <v>3500</v>
      </c>
      <c r="J1951" s="11">
        <v>-2000</v>
      </c>
      <c r="K1951" s="11">
        <v>-1435</v>
      </c>
      <c r="L1951" s="11">
        <f t="shared" si="61"/>
        <v>-3435</v>
      </c>
      <c r="M1951" s="11">
        <f t="shared" si="62"/>
        <v>65</v>
      </c>
    </row>
    <row r="1952" spans="1:13">
      <c r="A1952" s="7">
        <v>45781</v>
      </c>
      <c r="B1952" s="8">
        <f t="shared" si="64"/>
        <v>82.899999999999309</v>
      </c>
      <c r="C1952" s="44">
        <f t="shared" si="63"/>
        <v>0.20292025197694755</v>
      </c>
      <c r="D1952" s="10">
        <f t="shared" si="60"/>
        <v>16.82208888888881</v>
      </c>
      <c r="E1952" s="13">
        <v>88.6</v>
      </c>
      <c r="F1952" s="10">
        <f>AVERAGE($E$1829:E1952)</f>
        <v>87.028225806451573</v>
      </c>
      <c r="G1952" s="44">
        <v>0.22800000000000001</v>
      </c>
      <c r="H1952" s="10">
        <f t="shared" si="59"/>
        <v>20.200800000000001</v>
      </c>
      <c r="I1952" s="11">
        <v>3500</v>
      </c>
      <c r="J1952" s="11">
        <v>-2000</v>
      </c>
      <c r="K1952" s="11">
        <v>-932</v>
      </c>
      <c r="L1952" s="11">
        <f t="shared" si="61"/>
        <v>-2932</v>
      </c>
      <c r="M1952" s="11">
        <f t="shared" si="62"/>
        <v>568</v>
      </c>
    </row>
    <row r="1953" spans="1:13">
      <c r="A1953" s="7">
        <v>45782</v>
      </c>
      <c r="B1953" s="8">
        <f t="shared" si="64"/>
        <v>82.855555555554858</v>
      </c>
      <c r="C1953" s="44">
        <f t="shared" si="63"/>
        <v>0.20249269143087109</v>
      </c>
      <c r="D1953" s="10">
        <f t="shared" si="60"/>
        <v>16.777644444444366</v>
      </c>
      <c r="E1953" s="13">
        <v>88</v>
      </c>
      <c r="F1953" s="10">
        <f>AVERAGE($E$1829:E1953)</f>
        <v>87.035999999999959</v>
      </c>
      <c r="G1953" s="44">
        <v>0.22600000000000001</v>
      </c>
      <c r="H1953" s="10">
        <f t="shared" si="59"/>
        <v>19.888000000000002</v>
      </c>
      <c r="I1953" s="11">
        <v>2081</v>
      </c>
      <c r="J1953" s="11">
        <v>-2000</v>
      </c>
      <c r="K1953" s="11">
        <v>-730</v>
      </c>
      <c r="L1953" s="11">
        <f t="shared" si="61"/>
        <v>-2730</v>
      </c>
      <c r="M1953" s="11">
        <f t="shared" si="62"/>
        <v>-649</v>
      </c>
    </row>
    <row r="1954" spans="1:13">
      <c r="A1954" s="7">
        <v>45783</v>
      </c>
      <c r="B1954" s="8">
        <f t="shared" si="64"/>
        <v>82.811111111110407</v>
      </c>
      <c r="C1954" s="44">
        <f t="shared" si="63"/>
        <v>0.20206467194418432</v>
      </c>
      <c r="D1954" s="10">
        <f t="shared" si="60"/>
        <v>16.733199999999922</v>
      </c>
      <c r="E1954" s="13">
        <v>87.3</v>
      </c>
      <c r="F1954" s="10">
        <f>AVERAGE($E$1829:E1954)</f>
        <v>87.038095238095195</v>
      </c>
      <c r="G1954" s="44">
        <v>0.22600000000000001</v>
      </c>
      <c r="H1954" s="10">
        <f t="shared" si="59"/>
        <v>19.729800000000001</v>
      </c>
      <c r="I1954" s="11">
        <v>3055</v>
      </c>
      <c r="J1954" s="11">
        <v>-2000</v>
      </c>
      <c r="K1954" s="11">
        <v>-807</v>
      </c>
      <c r="L1954" s="11">
        <f t="shared" si="61"/>
        <v>-2807</v>
      </c>
      <c r="M1954" s="11">
        <f t="shared" si="62"/>
        <v>248</v>
      </c>
    </row>
    <row r="1955" spans="1:13">
      <c r="A1955" s="7">
        <v>45784</v>
      </c>
      <c r="B1955" s="8">
        <f t="shared" si="64"/>
        <v>82.766666666665955</v>
      </c>
      <c r="C1955" s="44">
        <f t="shared" si="63"/>
        <v>0.20163619277755482</v>
      </c>
      <c r="D1955" s="10">
        <f t="shared" si="60"/>
        <v>16.688755555555478</v>
      </c>
      <c r="E1955" s="13">
        <v>88.9</v>
      </c>
      <c r="F1955" s="10">
        <f>AVERAGE($E$1829:E1955)</f>
        <v>87.052755905511759</v>
      </c>
      <c r="G1955" s="44">
        <v>0.22539999999999999</v>
      </c>
      <c r="H1955" s="10">
        <f t="shared" si="59"/>
        <v>20.038060000000002</v>
      </c>
      <c r="I1955" s="56">
        <v>3143</v>
      </c>
      <c r="J1955" s="11">
        <v>-2000</v>
      </c>
      <c r="K1955" s="56">
        <v>-498</v>
      </c>
      <c r="L1955" s="11">
        <f t="shared" si="61"/>
        <v>-2498</v>
      </c>
      <c r="M1955" s="11">
        <f t="shared" si="62"/>
        <v>645</v>
      </c>
    </row>
    <row r="1956" spans="1:13">
      <c r="A1956" s="7">
        <v>45785</v>
      </c>
      <c r="B1956" s="8">
        <f t="shared" si="64"/>
        <v>82.722222222221504</v>
      </c>
      <c r="C1956" s="9">
        <f t="shared" si="63"/>
        <v>0.20120725319006125</v>
      </c>
      <c r="D1956" s="10">
        <f t="shared" si="60"/>
        <v>16.644311111111033</v>
      </c>
      <c r="E1956" s="57">
        <v>88</v>
      </c>
      <c r="F1956" s="10">
        <f>AVERAGE($E$1829:E1956)</f>
        <v>87.060156249999949</v>
      </c>
      <c r="G1956" s="58">
        <v>0.22900000000000001</v>
      </c>
      <c r="H1956" s="10">
        <f t="shared" si="59"/>
        <v>20.152000000000001</v>
      </c>
      <c r="I1956" s="56">
        <v>2527</v>
      </c>
      <c r="J1956" s="11">
        <v>-2000</v>
      </c>
      <c r="K1956" s="56">
        <v>-904</v>
      </c>
      <c r="L1956" s="11">
        <f t="shared" si="61"/>
        <v>-2904</v>
      </c>
      <c r="M1956" s="11">
        <f t="shared" si="62"/>
        <v>-377</v>
      </c>
    </row>
    <row r="1957" spans="1:13">
      <c r="A1957" s="7">
        <v>45786</v>
      </c>
      <c r="B1957" s="8">
        <f t="shared" si="64"/>
        <v>82.677777777777052</v>
      </c>
      <c r="C1957" s="9">
        <f t="shared" si="63"/>
        <v>0.20077785243918911</v>
      </c>
      <c r="D1957" s="10">
        <f t="shared" si="60"/>
        <v>16.599866666666589</v>
      </c>
      <c r="E1957" s="57">
        <v>86.7</v>
      </c>
      <c r="F1957" s="10">
        <f>AVERAGE($E$1829:E1957)</f>
        <v>87.057364341085233</v>
      </c>
      <c r="G1957" s="58">
        <v>0.22900000000000001</v>
      </c>
      <c r="H1957" s="10">
        <f t="shared" si="59"/>
        <v>19.854300000000002</v>
      </c>
      <c r="I1957" s="56">
        <v>2643</v>
      </c>
      <c r="J1957" s="11">
        <v>-2000</v>
      </c>
      <c r="K1957" s="56">
        <v>-594</v>
      </c>
      <c r="L1957" s="11">
        <f t="shared" si="61"/>
        <v>-2594</v>
      </c>
      <c r="M1957" s="11">
        <f t="shared" si="62"/>
        <v>49</v>
      </c>
    </row>
    <row r="1958" spans="1:13">
      <c r="A1958" s="7">
        <v>45787</v>
      </c>
      <c r="B1958" s="8">
        <f t="shared" si="64"/>
        <v>82.633333333332601</v>
      </c>
      <c r="C1958" s="9">
        <f t="shared" si="63"/>
        <v>0.20034798978082644</v>
      </c>
      <c r="D1958" s="10">
        <f t="shared" si="60"/>
        <v>16.555422222222145</v>
      </c>
      <c r="E1958" s="57">
        <v>87.2</v>
      </c>
      <c r="F1958" s="10">
        <f>AVERAGE($E$1829:E1958)</f>
        <v>87.058461538461501</v>
      </c>
      <c r="G1958" s="58">
        <v>0.22800000000000001</v>
      </c>
      <c r="H1958" s="10">
        <f t="shared" ref="H1958:H2021" si="65">G1958*E1958</f>
        <v>19.881600000000002</v>
      </c>
      <c r="I1958" s="56">
        <v>3204</v>
      </c>
      <c r="J1958" s="11">
        <v>-2000</v>
      </c>
      <c r="K1958" s="56">
        <v>-674</v>
      </c>
      <c r="L1958" s="11">
        <f t="shared" si="61"/>
        <v>-2674</v>
      </c>
      <c r="M1958" s="11">
        <f t="shared" si="62"/>
        <v>530</v>
      </c>
    </row>
    <row r="1959" spans="1:13">
      <c r="A1959" s="7">
        <v>45788</v>
      </c>
      <c r="B1959" s="8">
        <f t="shared" si="64"/>
        <v>82.58888888888815</v>
      </c>
      <c r="C1959" s="9">
        <f t="shared" si="63"/>
        <v>0.19991766446925957</v>
      </c>
      <c r="D1959" s="10">
        <f t="shared" ref="D1959:D2022" si="66">D1958-(4/90)</f>
        <v>16.5109777777777</v>
      </c>
      <c r="E1959" s="57">
        <v>87.6</v>
      </c>
      <c r="F1959" s="10">
        <f>AVERAGE($E$1829:E1959)</f>
        <v>87.062595419847298</v>
      </c>
      <c r="G1959" s="58">
        <v>0.23100000000000001</v>
      </c>
      <c r="H1959" s="10">
        <f t="shared" si="65"/>
        <v>20.235599999999998</v>
      </c>
      <c r="I1959" s="56">
        <v>4000</v>
      </c>
      <c r="J1959" s="11">
        <v>-2000</v>
      </c>
      <c r="K1959" s="56">
        <v>-2700</v>
      </c>
      <c r="L1959" s="11">
        <f t="shared" si="61"/>
        <v>-4700</v>
      </c>
      <c r="M1959" s="11">
        <f t="shared" si="62"/>
        <v>-700</v>
      </c>
    </row>
    <row r="1960" spans="1:13">
      <c r="A1960" s="7">
        <v>45789</v>
      </c>
      <c r="B1960" s="8">
        <f t="shared" si="64"/>
        <v>82.544444444443698</v>
      </c>
      <c r="C1960" s="9">
        <f t="shared" si="63"/>
        <v>0.19948687575716872</v>
      </c>
      <c r="D1960" s="10">
        <f t="shared" si="66"/>
        <v>16.466533333333256</v>
      </c>
      <c r="E1960" s="57">
        <v>87</v>
      </c>
      <c r="F1960" s="10">
        <f>AVERAGE($E$1829:E1960)</f>
        <v>87.06212121212117</v>
      </c>
      <c r="G1960" s="58">
        <v>0.23</v>
      </c>
      <c r="H1960" s="10">
        <f t="shared" si="65"/>
        <v>20.010000000000002</v>
      </c>
      <c r="I1960" s="56">
        <v>3500</v>
      </c>
      <c r="J1960" s="11">
        <v>-2000</v>
      </c>
      <c r="K1960" s="56">
        <v>-674</v>
      </c>
      <c r="L1960" s="11">
        <f t="shared" si="61"/>
        <v>-2674</v>
      </c>
      <c r="M1960" s="11">
        <f t="shared" si="62"/>
        <v>826</v>
      </c>
    </row>
    <row r="1961" spans="1:13">
      <c r="A1961" s="7">
        <v>45790</v>
      </c>
      <c r="B1961" s="8">
        <f t="shared" si="64"/>
        <v>82.499999999999247</v>
      </c>
      <c r="C1961" s="9">
        <f t="shared" si="63"/>
        <v>0.19905562289562378</v>
      </c>
      <c r="D1961" s="10">
        <f t="shared" si="66"/>
        <v>16.422088888888812</v>
      </c>
      <c r="E1961" s="57">
        <v>87.1</v>
      </c>
      <c r="F1961" s="10">
        <f>AVERAGE($E$1829:E1961)</f>
        <v>87.062406015037567</v>
      </c>
      <c r="G1961" s="58">
        <v>0.22800000000000001</v>
      </c>
      <c r="H1961" s="10">
        <f t="shared" si="65"/>
        <v>19.858799999999999</v>
      </c>
      <c r="I1961" s="56">
        <v>3500</v>
      </c>
      <c r="J1961" s="11">
        <v>-2000</v>
      </c>
      <c r="K1961" s="56">
        <v>-679</v>
      </c>
      <c r="L1961" s="11">
        <f t="shared" si="61"/>
        <v>-2679</v>
      </c>
      <c r="M1961" s="11">
        <f t="shared" si="62"/>
        <v>821</v>
      </c>
    </row>
    <row r="1962" spans="1:13">
      <c r="A1962" s="7">
        <v>45791</v>
      </c>
      <c r="B1962" s="8">
        <f t="shared" si="64"/>
        <v>82.455555555554795</v>
      </c>
      <c r="C1962" s="9">
        <f t="shared" si="63"/>
        <v>0.19862390513407988</v>
      </c>
      <c r="D1962" s="10">
        <f t="shared" si="66"/>
        <v>16.377644444444368</v>
      </c>
      <c r="E1962" s="57">
        <v>87.2</v>
      </c>
      <c r="F1962" s="10">
        <f>AVERAGE($E$1829:E1962)</f>
        <v>87.063432835820862</v>
      </c>
      <c r="G1962" s="58">
        <v>0.22600000000000001</v>
      </c>
      <c r="H1962" s="10">
        <f t="shared" si="65"/>
        <v>19.7072</v>
      </c>
      <c r="I1962" s="56">
        <v>3500</v>
      </c>
      <c r="J1962" s="11">
        <v>-2000</v>
      </c>
      <c r="K1962" s="56">
        <v>-591</v>
      </c>
      <c r="L1962" s="11">
        <f t="shared" si="61"/>
        <v>-2591</v>
      </c>
      <c r="M1962" s="11">
        <f t="shared" si="62"/>
        <v>909</v>
      </c>
    </row>
    <row r="1963" spans="1:13">
      <c r="A1963" s="7">
        <v>45792</v>
      </c>
      <c r="B1963" s="8">
        <f t="shared" si="64"/>
        <v>82.411111111110344</v>
      </c>
      <c r="C1963" s="9">
        <f t="shared" si="63"/>
        <v>0.19819172172037303</v>
      </c>
      <c r="D1963" s="10">
        <f t="shared" si="66"/>
        <v>16.333199999999923</v>
      </c>
      <c r="E1963" s="57">
        <v>87.3</v>
      </c>
      <c r="F1963" s="10">
        <f>AVERAGE($E$1829:E1963)</f>
        <v>87.065185185185157</v>
      </c>
      <c r="G1963" s="58">
        <v>0.22500000000000001</v>
      </c>
      <c r="H1963" s="10">
        <f t="shared" si="65"/>
        <v>19.642499999999998</v>
      </c>
      <c r="I1963" s="56">
        <v>3500</v>
      </c>
      <c r="J1963" s="11">
        <v>-2000</v>
      </c>
      <c r="K1963" s="56">
        <v>-377</v>
      </c>
      <c r="L1963" s="11">
        <f t="shared" si="61"/>
        <v>-2377</v>
      </c>
      <c r="M1963" s="11">
        <f t="shared" si="62"/>
        <v>1123</v>
      </c>
    </row>
    <row r="1964" spans="1:13">
      <c r="A1964" s="7">
        <v>45793</v>
      </c>
      <c r="B1964" s="8">
        <f t="shared" si="64"/>
        <v>82.366666666665893</v>
      </c>
      <c r="C1964" s="9">
        <f t="shared" si="63"/>
        <v>0.1977590719007159</v>
      </c>
      <c r="D1964" s="10">
        <f t="shared" si="66"/>
        <v>16.288755555555479</v>
      </c>
      <c r="E1964" s="57">
        <v>87.4</v>
      </c>
      <c r="F1964" s="10">
        <f>AVERAGE($E$1829:E1964)</f>
        <v>87.067647058823496</v>
      </c>
      <c r="G1964" s="58">
        <v>0.224</v>
      </c>
      <c r="H1964" s="10">
        <f t="shared" si="65"/>
        <v>19.5776</v>
      </c>
      <c r="I1964" s="56">
        <v>3500</v>
      </c>
      <c r="J1964" s="11">
        <v>-2000</v>
      </c>
      <c r="K1964" s="56">
        <v>-656</v>
      </c>
      <c r="L1964" s="11">
        <f t="shared" si="61"/>
        <v>-2656</v>
      </c>
      <c r="M1964" s="11">
        <f t="shared" si="62"/>
        <v>844</v>
      </c>
    </row>
    <row r="1965" spans="1:13">
      <c r="A1965" s="7">
        <v>45794</v>
      </c>
      <c r="B1965" s="8">
        <f t="shared" si="64"/>
        <v>82.322222222221441</v>
      </c>
      <c r="C1965" s="9">
        <f t="shared" si="63"/>
        <v>0.19732595491969321</v>
      </c>
      <c r="D1965" s="10">
        <f t="shared" si="66"/>
        <v>16.244311111111035</v>
      </c>
      <c r="E1965" s="57">
        <v>87.4</v>
      </c>
      <c r="F1965" s="10">
        <f>AVERAGE($E$1829:E1965)</f>
        <v>87.070072992700688</v>
      </c>
      <c r="G1965" s="58">
        <v>0.221</v>
      </c>
      <c r="H1965" s="10">
        <f t="shared" si="65"/>
        <v>19.3154</v>
      </c>
      <c r="I1965" s="56">
        <v>3500</v>
      </c>
      <c r="J1965" s="11">
        <v>-2000</v>
      </c>
      <c r="K1965" s="56">
        <v>-1163</v>
      </c>
      <c r="L1965" s="11">
        <f t="shared" si="61"/>
        <v>-3163</v>
      </c>
      <c r="M1965" s="11">
        <f t="shared" si="62"/>
        <v>337</v>
      </c>
    </row>
    <row r="1966" spans="1:13">
      <c r="A1966" s="7">
        <v>45795</v>
      </c>
      <c r="B1966" s="8">
        <f t="shared" si="64"/>
        <v>82.27777777777699</v>
      </c>
      <c r="C1966" s="9">
        <f t="shared" si="63"/>
        <v>0.19689237002025756</v>
      </c>
      <c r="D1966" s="10">
        <f t="shared" si="66"/>
        <v>16.19986666666659</v>
      </c>
      <c r="E1966" s="57">
        <v>88.4</v>
      </c>
      <c r="F1966" s="10">
        <f>AVERAGE($E$1829:E1966)</f>
        <v>87.079710144927503</v>
      </c>
      <c r="G1966" s="58">
        <v>0.22700000000000001</v>
      </c>
      <c r="H1966" s="10">
        <f t="shared" si="65"/>
        <v>20.066800000000001</v>
      </c>
      <c r="I1966" s="56">
        <v>3500</v>
      </c>
      <c r="J1966" s="11">
        <v>-2000</v>
      </c>
      <c r="K1966" s="56">
        <v>-965</v>
      </c>
      <c r="L1966" s="11">
        <f t="shared" si="61"/>
        <v>-2965</v>
      </c>
      <c r="M1966" s="11">
        <f t="shared" si="62"/>
        <v>535</v>
      </c>
    </row>
    <row r="1967" spans="1:13">
      <c r="A1967" s="7">
        <v>45796</v>
      </c>
      <c r="B1967" s="8">
        <f t="shared" si="64"/>
        <v>82.233333333332538</v>
      </c>
      <c r="C1967" s="9">
        <f t="shared" si="63"/>
        <v>0.1964583164437248</v>
      </c>
      <c r="D1967" s="10">
        <f t="shared" si="66"/>
        <v>16.155422222222146</v>
      </c>
      <c r="E1967" s="57">
        <v>88.3</v>
      </c>
      <c r="F1967" s="10">
        <f>AVERAGE($E$1829:E1967)</f>
        <v>87.08848920863305</v>
      </c>
      <c r="G1967" s="58">
        <v>0.222</v>
      </c>
      <c r="H1967" s="10">
        <f t="shared" si="65"/>
        <v>19.602599999999999</v>
      </c>
      <c r="I1967" s="56">
        <v>4000</v>
      </c>
      <c r="J1967" s="11">
        <v>-2000</v>
      </c>
      <c r="K1967" s="56">
        <v>-537</v>
      </c>
      <c r="L1967" s="11">
        <f t="shared" si="61"/>
        <v>-2537</v>
      </c>
      <c r="M1967" s="11">
        <f t="shared" si="62"/>
        <v>1463</v>
      </c>
    </row>
    <row r="1968" spans="1:13">
      <c r="A1968" s="7">
        <v>45797</v>
      </c>
      <c r="B1968" s="8">
        <f t="shared" si="64"/>
        <v>82.188888888888087</v>
      </c>
      <c r="C1968" s="9">
        <f t="shared" si="63"/>
        <v>0.1960237934297698</v>
      </c>
      <c r="D1968" s="10">
        <f t="shared" si="66"/>
        <v>16.110977777777702</v>
      </c>
      <c r="E1968" s="57">
        <v>88.2</v>
      </c>
      <c r="F1968" s="10">
        <f>AVERAGE($E$1829:E1968)</f>
        <v>87.096428571428532</v>
      </c>
      <c r="G1968" s="58">
        <v>0.217</v>
      </c>
      <c r="H1968" s="10">
        <f t="shared" si="65"/>
        <v>19.139400000000002</v>
      </c>
      <c r="I1968" s="56">
        <v>3500</v>
      </c>
      <c r="J1968" s="11">
        <v>-2000</v>
      </c>
      <c r="K1968" s="56">
        <v>-749</v>
      </c>
      <c r="L1968" s="11">
        <f t="shared" si="61"/>
        <v>-2749</v>
      </c>
      <c r="M1968" s="11">
        <f t="shared" si="62"/>
        <v>751</v>
      </c>
    </row>
    <row r="1969" spans="1:13">
      <c r="A1969" s="7">
        <v>45798</v>
      </c>
      <c r="B1969" s="8">
        <f t="shared" si="64"/>
        <v>82.144444444443636</v>
      </c>
      <c r="C1969" s="9">
        <f t="shared" si="63"/>
        <v>0.19558880021642194</v>
      </c>
      <c r="D1969" s="10">
        <f t="shared" si="66"/>
        <v>16.066533333333258</v>
      </c>
      <c r="E1969" s="57">
        <v>88</v>
      </c>
      <c r="F1969" s="10">
        <f>AVERAGE($E$1829:E1969)</f>
        <v>87.102836879432587</v>
      </c>
      <c r="G1969" s="58">
        <v>0.23499999999999999</v>
      </c>
      <c r="H1969" s="10">
        <f t="shared" si="65"/>
        <v>20.68</v>
      </c>
      <c r="I1969" s="56">
        <v>2665</v>
      </c>
      <c r="J1969" s="11">
        <v>-2000</v>
      </c>
      <c r="K1969" s="56">
        <v>-688</v>
      </c>
      <c r="L1969" s="11">
        <f t="shared" si="61"/>
        <v>-2688</v>
      </c>
      <c r="M1969" s="11">
        <f t="shared" si="62"/>
        <v>-23</v>
      </c>
    </row>
    <row r="1970" spans="1:13">
      <c r="A1970" s="7">
        <v>45799</v>
      </c>
      <c r="B1970" s="8">
        <f t="shared" si="64"/>
        <v>82.099999999999184</v>
      </c>
      <c r="C1970" s="9">
        <f t="shared" si="63"/>
        <v>0.19515333604006058</v>
      </c>
      <c r="D1970" s="10">
        <f t="shared" si="66"/>
        <v>16.022088888888813</v>
      </c>
      <c r="E1970" s="57">
        <v>87.2</v>
      </c>
      <c r="F1970" s="10">
        <f>AVERAGE($E$1829:E1970)</f>
        <v>87.103521126760526</v>
      </c>
      <c r="G1970" s="58">
        <v>0.23300000000000001</v>
      </c>
      <c r="H1970" s="10">
        <f t="shared" si="65"/>
        <v>20.317600000000002</v>
      </c>
      <c r="I1970" s="56">
        <v>3000</v>
      </c>
      <c r="J1970" s="11">
        <v>-2000</v>
      </c>
      <c r="K1970" s="56">
        <v>-470</v>
      </c>
      <c r="L1970" s="11">
        <f t="shared" si="61"/>
        <v>-2470</v>
      </c>
      <c r="M1970" s="11">
        <f t="shared" si="62"/>
        <v>530</v>
      </c>
    </row>
    <row r="1971" spans="1:13">
      <c r="A1971" s="7">
        <v>45800</v>
      </c>
      <c r="B1971" s="8">
        <f t="shared" si="64"/>
        <v>82.055555555554733</v>
      </c>
      <c r="C1971" s="9">
        <f t="shared" si="63"/>
        <v>0.19471740013541064</v>
      </c>
      <c r="D1971" s="10">
        <f t="shared" si="66"/>
        <v>15.977644444444369</v>
      </c>
      <c r="E1971" s="57">
        <v>88</v>
      </c>
      <c r="F1971" s="10">
        <f>AVERAGE($E$1829:E1971)</f>
        <v>87.109790209790177</v>
      </c>
      <c r="G1971" s="58">
        <v>0.222</v>
      </c>
      <c r="H1971" s="10">
        <f t="shared" si="65"/>
        <v>19.536000000000001</v>
      </c>
      <c r="I1971" s="56">
        <v>3000</v>
      </c>
      <c r="J1971" s="11">
        <v>-2000</v>
      </c>
      <c r="K1971" s="56">
        <v>-901</v>
      </c>
      <c r="L1971" s="11">
        <f t="shared" si="61"/>
        <v>-2901</v>
      </c>
      <c r="M1971" s="11">
        <f t="shared" si="62"/>
        <v>99</v>
      </c>
    </row>
    <row r="1972" spans="1:13">
      <c r="A1972" s="7">
        <v>45801</v>
      </c>
      <c r="B1972" s="8">
        <f t="shared" si="64"/>
        <v>82.011111111110282</v>
      </c>
      <c r="C1972" s="9">
        <f t="shared" si="63"/>
        <v>0.19428099173553823</v>
      </c>
      <c r="D1972" s="10">
        <f t="shared" si="66"/>
        <v>15.933199999999925</v>
      </c>
      <c r="E1972" s="57">
        <v>87.6</v>
      </c>
      <c r="F1972" s="10">
        <f>AVERAGE($E$1829:E1972)</f>
        <v>87.113194444444417</v>
      </c>
      <c r="G1972" s="58">
        <v>0.23100000000000001</v>
      </c>
      <c r="H1972" s="10">
        <f t="shared" si="65"/>
        <v>20.235599999999998</v>
      </c>
      <c r="I1972" s="56">
        <v>3000</v>
      </c>
      <c r="J1972" s="11">
        <v>-2000</v>
      </c>
      <c r="K1972" s="56">
        <v>-524</v>
      </c>
      <c r="L1972" s="11">
        <f t="shared" si="61"/>
        <v>-2524</v>
      </c>
      <c r="M1972" s="11">
        <f t="shared" si="62"/>
        <v>476</v>
      </c>
    </row>
    <row r="1973" spans="1:13">
      <c r="A1973" s="7">
        <v>45802</v>
      </c>
      <c r="B1973" s="8">
        <f t="shared" si="64"/>
        <v>81.96666666666583</v>
      </c>
      <c r="C1973" s="9">
        <f t="shared" si="63"/>
        <v>0.19384411007184599</v>
      </c>
      <c r="D1973" s="10">
        <f t="shared" si="66"/>
        <v>15.88875555555548</v>
      </c>
      <c r="E1973" s="57">
        <v>88.2</v>
      </c>
      <c r="F1973" s="10">
        <f>AVERAGE($E$1829:E1973)</f>
        <v>87.120689655172384</v>
      </c>
      <c r="G1973" s="58">
        <v>0.23400000000000001</v>
      </c>
      <c r="H1973" s="10">
        <f t="shared" si="65"/>
        <v>20.638800000000003</v>
      </c>
      <c r="I1973" s="56">
        <v>4000</v>
      </c>
      <c r="J1973" s="11">
        <v>-2000</v>
      </c>
      <c r="K1973" s="56">
        <v>-4584</v>
      </c>
      <c r="L1973" s="11">
        <f t="shared" si="61"/>
        <v>-6584</v>
      </c>
      <c r="M1973" s="11">
        <f t="shared" si="62"/>
        <v>-2584</v>
      </c>
    </row>
    <row r="1974" spans="1:13">
      <c r="A1974" s="7">
        <v>45803</v>
      </c>
      <c r="B1974" s="8">
        <f t="shared" si="64"/>
        <v>81.922222222221379</v>
      </c>
      <c r="C1974" s="9">
        <f t="shared" si="63"/>
        <v>0.19340675437406862</v>
      </c>
      <c r="D1974" s="10">
        <f t="shared" si="66"/>
        <v>15.844311111111036</v>
      </c>
      <c r="E1974" s="57">
        <v>88</v>
      </c>
      <c r="F1974" s="10">
        <f>AVERAGE($E$1829:E1974)</f>
        <v>87.126712328767098</v>
      </c>
      <c r="G1974" s="58">
        <v>0.23</v>
      </c>
      <c r="H1974" s="10">
        <f t="shared" si="65"/>
        <v>20.240000000000002</v>
      </c>
      <c r="I1974" s="56">
        <v>3500</v>
      </c>
      <c r="J1974" s="11">
        <v>-2000</v>
      </c>
      <c r="K1974" s="56">
        <v>-837</v>
      </c>
      <c r="L1974" s="11">
        <f t="shared" si="61"/>
        <v>-2837</v>
      </c>
      <c r="M1974" s="11">
        <f t="shared" si="62"/>
        <v>663</v>
      </c>
    </row>
    <row r="1975" spans="1:13">
      <c r="A1975" s="7">
        <v>45804</v>
      </c>
      <c r="B1975" s="8">
        <f t="shared" si="64"/>
        <v>81.877777777776927</v>
      </c>
      <c r="C1975" s="9">
        <f t="shared" si="63"/>
        <v>0.19296892387026843</v>
      </c>
      <c r="D1975" s="10">
        <f t="shared" si="66"/>
        <v>15.799866666666592</v>
      </c>
      <c r="E1975" s="57">
        <v>87.8</v>
      </c>
      <c r="F1975" s="10">
        <f>AVERAGE($E$1829:E1975)</f>
        <v>87.13129251700677</v>
      </c>
      <c r="G1975" s="58">
        <v>0.22500000000000001</v>
      </c>
      <c r="H1975" s="10">
        <f t="shared" si="65"/>
        <v>19.754999999999999</v>
      </c>
      <c r="I1975" s="56">
        <v>3500</v>
      </c>
      <c r="J1975" s="11">
        <v>-2000</v>
      </c>
      <c r="K1975" s="56">
        <v>-608</v>
      </c>
      <c r="L1975" s="11">
        <f t="shared" si="61"/>
        <v>-2608</v>
      </c>
      <c r="M1975" s="11">
        <f t="shared" si="62"/>
        <v>892</v>
      </c>
    </row>
    <row r="1976" spans="1:13">
      <c r="A1976" s="7">
        <v>45805</v>
      </c>
      <c r="B1976" s="8">
        <f t="shared" si="64"/>
        <v>81.833333333332476</v>
      </c>
      <c r="C1976" s="9">
        <f t="shared" si="63"/>
        <v>0.1925306177868307</v>
      </c>
      <c r="D1976" s="10">
        <f t="shared" si="66"/>
        <v>15.755422222222148</v>
      </c>
      <c r="E1976" s="57">
        <v>86.6</v>
      </c>
      <c r="F1976" s="10">
        <f>AVERAGE($E$1829:E1976)</f>
        <v>87.127702702702678</v>
      </c>
      <c r="G1976" s="58">
        <v>0.23</v>
      </c>
      <c r="H1976" s="10">
        <f t="shared" si="65"/>
        <v>19.917999999999999</v>
      </c>
      <c r="I1976" s="56">
        <v>3500</v>
      </c>
      <c r="J1976" s="11">
        <v>-2000</v>
      </c>
      <c r="K1976" s="56">
        <v>-648</v>
      </c>
      <c r="L1976" s="11">
        <f t="shared" si="61"/>
        <v>-2648</v>
      </c>
      <c r="M1976" s="11">
        <f t="shared" si="62"/>
        <v>852</v>
      </c>
    </row>
    <row r="1977" spans="1:13">
      <c r="A1977" s="7">
        <v>45806</v>
      </c>
      <c r="B1977" s="8">
        <f t="shared" si="64"/>
        <v>81.788888888888025</v>
      </c>
      <c r="C1977" s="9">
        <f t="shared" si="63"/>
        <v>0.19209183534845922</v>
      </c>
      <c r="D1977" s="10">
        <f t="shared" si="66"/>
        <v>15.710977777777703</v>
      </c>
      <c r="E1977" s="57">
        <v>86.6</v>
      </c>
      <c r="F1977" s="10">
        <f>AVERAGE($E$1829:E1977)</f>
        <v>87.124161073825476</v>
      </c>
      <c r="G1977" s="58">
        <v>0.22800000000000001</v>
      </c>
      <c r="H1977" s="10">
        <f t="shared" si="65"/>
        <v>19.744799999999998</v>
      </c>
      <c r="I1977" s="56">
        <v>3500</v>
      </c>
      <c r="J1977" s="11">
        <v>-2000</v>
      </c>
      <c r="K1977" s="56">
        <v>-840</v>
      </c>
      <c r="L1977" s="11">
        <f t="shared" ref="L1977:L2040" si="67">SUM(J1977:K1977)</f>
        <v>-2840</v>
      </c>
      <c r="M1977" s="11">
        <f t="shared" ref="M1977:M2040" si="68">I1977+J1977+K1977</f>
        <v>660</v>
      </c>
    </row>
    <row r="1978" spans="1:13">
      <c r="A1978" s="7">
        <v>45807</v>
      </c>
      <c r="B1978" s="8">
        <f t="shared" si="64"/>
        <v>81.744444444443573</v>
      </c>
      <c r="C1978" s="9">
        <f t="shared" si="63"/>
        <v>0.19165257577817157</v>
      </c>
      <c r="D1978" s="10">
        <f t="shared" si="66"/>
        <v>15.666533333333259</v>
      </c>
      <c r="E1978" s="57">
        <v>86.7</v>
      </c>
      <c r="F1978" s="10">
        <f>AVERAGE($E$1829:E1978)</f>
        <v>87.121333333333311</v>
      </c>
      <c r="G1978" s="58">
        <v>0.23599999999999999</v>
      </c>
      <c r="H1978" s="10">
        <f t="shared" si="65"/>
        <v>20.461199999999998</v>
      </c>
      <c r="I1978" s="56">
        <v>3500</v>
      </c>
      <c r="J1978" s="11">
        <v>-2000</v>
      </c>
      <c r="K1978" s="56">
        <v>-803</v>
      </c>
      <c r="L1978" s="11">
        <f t="shared" si="67"/>
        <v>-2803</v>
      </c>
      <c r="M1978" s="11">
        <f t="shared" si="68"/>
        <v>697</v>
      </c>
    </row>
    <row r="1979" spans="1:13">
      <c r="A1979" s="7">
        <v>45808</v>
      </c>
      <c r="B1979" s="8">
        <f t="shared" si="64"/>
        <v>81.699999999999122</v>
      </c>
      <c r="C1979" s="9">
        <f t="shared" si="63"/>
        <v>0.19121283829729477</v>
      </c>
      <c r="D1979" s="10">
        <f t="shared" si="66"/>
        <v>15.622088888888815</v>
      </c>
      <c r="E1979" s="57">
        <v>86.4</v>
      </c>
      <c r="F1979" s="10">
        <f>AVERAGE($E$1829:E1979)</f>
        <v>87.116556291390708</v>
      </c>
      <c r="G1979" s="58">
        <v>0.224</v>
      </c>
      <c r="H1979" s="10">
        <f t="shared" si="65"/>
        <v>19.3536</v>
      </c>
      <c r="I1979" s="56">
        <v>4000</v>
      </c>
      <c r="J1979" s="11">
        <v>-2000</v>
      </c>
      <c r="K1979" s="56">
        <v>-2227</v>
      </c>
      <c r="L1979" s="11">
        <f t="shared" si="67"/>
        <v>-4227</v>
      </c>
      <c r="M1979" s="11">
        <f t="shared" si="68"/>
        <v>-227</v>
      </c>
    </row>
    <row r="1980" spans="1:13">
      <c r="A1980" s="7">
        <v>45809</v>
      </c>
      <c r="B1980" s="8">
        <f>B1979-(4/90)+5</f>
        <v>86.65555555555467</v>
      </c>
      <c r="C1980" s="9">
        <f t="shared" si="63"/>
        <v>0.22592486216181706</v>
      </c>
      <c r="D1980" s="10">
        <f>D1979-(4/90)+4</f>
        <v>19.57764444444437</v>
      </c>
      <c r="E1980" s="57">
        <v>86.8</v>
      </c>
      <c r="F1980" s="10">
        <f>AVERAGE($E$1829:E1980)</f>
        <v>87.114473684210495</v>
      </c>
      <c r="G1980" s="58">
        <v>0.217</v>
      </c>
      <c r="H1980" s="10">
        <f t="shared" si="65"/>
        <v>18.835599999999999</v>
      </c>
      <c r="I1980" s="56">
        <v>4000</v>
      </c>
      <c r="J1980" s="11">
        <v>-2000</v>
      </c>
      <c r="K1980" s="56">
        <v>-2808</v>
      </c>
      <c r="L1980" s="11">
        <f t="shared" si="67"/>
        <v>-4808</v>
      </c>
      <c r="M1980" s="11">
        <f t="shared" si="68"/>
        <v>-808</v>
      </c>
    </row>
    <row r="1981" spans="1:13">
      <c r="A1981" s="7">
        <v>45810</v>
      </c>
      <c r="B1981" s="8">
        <f t="shared" si="64"/>
        <v>86.611111111110219</v>
      </c>
      <c r="C1981" s="9">
        <f t="shared" si="63"/>
        <v>0.22552764592687768</v>
      </c>
      <c r="D1981" s="10">
        <f t="shared" si="66"/>
        <v>19.533199999999926</v>
      </c>
      <c r="E1981" s="57">
        <v>86.5</v>
      </c>
      <c r="F1981" s="10">
        <f>AVERAGE($E$1829:E1981)</f>
        <v>87.110457516339849</v>
      </c>
      <c r="G1981" s="58">
        <v>0.221</v>
      </c>
      <c r="H1981" s="10">
        <f t="shared" si="65"/>
        <v>19.116499999999998</v>
      </c>
      <c r="I1981" s="56">
        <v>3500</v>
      </c>
      <c r="J1981" s="11">
        <v>-2000</v>
      </c>
      <c r="K1981" s="56">
        <v>-590</v>
      </c>
      <c r="L1981" s="11">
        <f t="shared" si="67"/>
        <v>-2590</v>
      </c>
      <c r="M1981" s="11">
        <f t="shared" si="68"/>
        <v>910</v>
      </c>
    </row>
    <row r="1982" spans="1:13">
      <c r="A1982" s="7">
        <v>45811</v>
      </c>
      <c r="B1982" s="8">
        <f t="shared" si="64"/>
        <v>86.566666666665768</v>
      </c>
      <c r="C1982" s="9">
        <f t="shared" ref="C1982:C2008" si="69">D1982/B1982</f>
        <v>0.22513002182005026</v>
      </c>
      <c r="D1982" s="10">
        <f t="shared" si="66"/>
        <v>19.488755555555482</v>
      </c>
      <c r="E1982" s="57">
        <v>86.5</v>
      </c>
      <c r="F1982" s="10">
        <f>AVERAGE($E$1829:E1982)</f>
        <v>87.106493506493479</v>
      </c>
      <c r="G1982" s="58">
        <v>0.221</v>
      </c>
      <c r="H1982" s="10">
        <f t="shared" si="65"/>
        <v>19.116499999999998</v>
      </c>
      <c r="I1982" s="56">
        <v>3500</v>
      </c>
      <c r="J1982" s="11">
        <v>-2000</v>
      </c>
      <c r="K1982" s="56">
        <v>-655</v>
      </c>
      <c r="L1982" s="11">
        <f t="shared" si="67"/>
        <v>-2655</v>
      </c>
      <c r="M1982" s="11">
        <f t="shared" si="68"/>
        <v>845</v>
      </c>
    </row>
    <row r="1983" spans="1:13">
      <c r="A1983" s="7">
        <v>45812</v>
      </c>
      <c r="B1983" s="8">
        <f t="shared" si="64"/>
        <v>86.522222222221316</v>
      </c>
      <c r="C1983" s="9">
        <f t="shared" si="69"/>
        <v>0.22473198921279205</v>
      </c>
      <c r="D1983" s="10">
        <f t="shared" si="66"/>
        <v>19.444311111111038</v>
      </c>
      <c r="E1983" s="57">
        <v>87.5</v>
      </c>
      <c r="F1983" s="10">
        <f>AVERAGE($E$1829:E1983)</f>
        <v>87.109032258064488</v>
      </c>
      <c r="G1983" s="58">
        <v>0.222</v>
      </c>
      <c r="H1983" s="10">
        <f t="shared" si="65"/>
        <v>19.425000000000001</v>
      </c>
      <c r="I1983" s="56">
        <v>3500</v>
      </c>
      <c r="J1983" s="11">
        <v>-2000</v>
      </c>
      <c r="K1983" s="56">
        <v>-766</v>
      </c>
      <c r="L1983" s="11">
        <f t="shared" si="67"/>
        <v>-2766</v>
      </c>
      <c r="M1983" s="11">
        <f t="shared" si="68"/>
        <v>734</v>
      </c>
    </row>
    <row r="1984" spans="1:13">
      <c r="A1984" s="7">
        <v>45813</v>
      </c>
      <c r="B1984" s="8">
        <f t="shared" si="64"/>
        <v>86.477777777776865</v>
      </c>
      <c r="C1984" s="9">
        <f t="shared" si="69"/>
        <v>0.22433354747526812</v>
      </c>
      <c r="D1984" s="10">
        <f t="shared" si="66"/>
        <v>19.399866666666593</v>
      </c>
      <c r="E1984" s="57">
        <v>87.1</v>
      </c>
      <c r="F1984" s="10">
        <f>AVERAGE($E$1829:E1984)</f>
        <v>87.108974358974336</v>
      </c>
      <c r="G1984" s="58">
        <v>0.22600000000000001</v>
      </c>
      <c r="H1984" s="10">
        <f t="shared" si="65"/>
        <v>19.6846</v>
      </c>
      <c r="I1984" s="56">
        <v>3500</v>
      </c>
      <c r="J1984" s="11">
        <v>-2000</v>
      </c>
      <c r="K1984" s="56">
        <v>-657</v>
      </c>
      <c r="L1984" s="11">
        <f t="shared" si="67"/>
        <v>-2657</v>
      </c>
      <c r="M1984" s="11">
        <f t="shared" si="68"/>
        <v>843</v>
      </c>
    </row>
    <row r="1985" spans="1:18">
      <c r="A1985" s="7">
        <v>45814</v>
      </c>
      <c r="B1985" s="8">
        <f t="shared" si="64"/>
        <v>86.433333333332413</v>
      </c>
      <c r="C1985" s="9">
        <f t="shared" si="69"/>
        <v>0.2239346959763481</v>
      </c>
      <c r="D1985" s="10">
        <f t="shared" si="66"/>
        <v>19.355422222222149</v>
      </c>
      <c r="E1985" s="57">
        <v>86.4</v>
      </c>
      <c r="F1985" s="10">
        <f>AVERAGE($E$1829:E1985)</f>
        <v>87.104458598726083</v>
      </c>
      <c r="G1985" s="58">
        <v>0.22500000000000001</v>
      </c>
      <c r="H1985" s="10">
        <f t="shared" si="65"/>
        <v>19.440000000000001</v>
      </c>
      <c r="I1985" s="56">
        <v>3500</v>
      </c>
      <c r="J1985" s="11">
        <v>-2000</v>
      </c>
      <c r="K1985" s="56">
        <v>-711</v>
      </c>
      <c r="L1985" s="11">
        <f t="shared" si="67"/>
        <v>-2711</v>
      </c>
      <c r="M1985" s="11">
        <f t="shared" si="68"/>
        <v>789</v>
      </c>
    </row>
    <row r="1986" spans="1:18">
      <c r="A1986" s="7">
        <v>45815</v>
      </c>
      <c r="B1986" s="8">
        <f t="shared" si="64"/>
        <v>86.388888888887962</v>
      </c>
      <c r="C1986" s="9">
        <f t="shared" si="69"/>
        <v>0.22353543408360285</v>
      </c>
      <c r="D1986" s="10">
        <f t="shared" si="66"/>
        <v>19.310977777777705</v>
      </c>
      <c r="E1986" s="57">
        <v>87.4</v>
      </c>
      <c r="F1986" s="10">
        <f>AVERAGE($E$1829:E1986)</f>
        <v>87.106329113924019</v>
      </c>
      <c r="G1986" s="58">
        <v>0.22800000000000001</v>
      </c>
      <c r="H1986" s="10">
        <f t="shared" si="65"/>
        <v>19.927200000000003</v>
      </c>
      <c r="I1986" s="56">
        <v>3500</v>
      </c>
      <c r="J1986" s="11">
        <v>-2000</v>
      </c>
      <c r="K1986" s="56">
        <v>-741</v>
      </c>
      <c r="L1986" s="11">
        <f t="shared" si="67"/>
        <v>-2741</v>
      </c>
      <c r="M1986" s="11">
        <f t="shared" si="68"/>
        <v>759</v>
      </c>
    </row>
    <row r="1987" spans="1:18">
      <c r="A1987" s="7">
        <v>45816</v>
      </c>
      <c r="B1987" s="8">
        <f t="shared" si="64"/>
        <v>86.344444444443511</v>
      </c>
      <c r="C1987" s="9">
        <f t="shared" si="69"/>
        <v>0.22313576116330103</v>
      </c>
      <c r="D1987" s="10">
        <f t="shared" si="66"/>
        <v>19.26653333333326</v>
      </c>
      <c r="E1987" s="57">
        <v>87.4</v>
      </c>
      <c r="F1987" s="10">
        <f>AVERAGE($E$1829:E1987)</f>
        <v>87.108176100628896</v>
      </c>
      <c r="G1987" s="58">
        <v>0.22900000000000001</v>
      </c>
      <c r="H1987" s="10">
        <f t="shared" si="65"/>
        <v>20.014600000000002</v>
      </c>
      <c r="I1987" s="56">
        <v>3500</v>
      </c>
      <c r="J1987" s="11">
        <v>-2000</v>
      </c>
      <c r="K1987" s="56">
        <v>-953</v>
      </c>
      <c r="L1987" s="11">
        <f t="shared" si="67"/>
        <v>-2953</v>
      </c>
      <c r="M1987" s="11">
        <f t="shared" si="68"/>
        <v>547</v>
      </c>
    </row>
    <row r="1988" spans="1:18">
      <c r="A1988" s="7">
        <v>45817</v>
      </c>
      <c r="B1988" s="8">
        <f t="shared" si="64"/>
        <v>86.299999999999059</v>
      </c>
      <c r="C1988" s="9">
        <f t="shared" si="69"/>
        <v>0.22273567658040586</v>
      </c>
      <c r="D1988" s="10">
        <f t="shared" si="66"/>
        <v>19.222088888888816</v>
      </c>
      <c r="E1988" s="57">
        <v>87.1</v>
      </c>
      <c r="F1988" s="10">
        <f>AVERAGE($E$1829:E1988)</f>
        <v>87.108124999999973</v>
      </c>
      <c r="G1988" s="58">
        <v>0.22800000000000001</v>
      </c>
      <c r="H1988" s="10">
        <f t="shared" si="65"/>
        <v>19.858799999999999</v>
      </c>
      <c r="I1988" s="56">
        <v>3500</v>
      </c>
      <c r="J1988" s="11">
        <v>-2000</v>
      </c>
      <c r="K1988" s="56">
        <v>-587</v>
      </c>
      <c r="L1988" s="11">
        <f t="shared" si="67"/>
        <v>-2587</v>
      </c>
      <c r="M1988" s="11">
        <f t="shared" si="68"/>
        <v>913</v>
      </c>
    </row>
    <row r="1989" spans="1:18">
      <c r="A1989" s="7">
        <v>45818</v>
      </c>
      <c r="B1989" s="8">
        <f t="shared" si="64"/>
        <v>86.255555555554608</v>
      </c>
      <c r="C1989" s="9">
        <f t="shared" si="69"/>
        <v>0.22233517969857175</v>
      </c>
      <c r="D1989" s="10">
        <f t="shared" si="66"/>
        <v>19.177644444444372</v>
      </c>
      <c r="E1989" s="57">
        <v>86.8</v>
      </c>
      <c r="F1989" s="10">
        <f>AVERAGE($E$1829:E1989)</f>
        <v>87.106211180124191</v>
      </c>
      <c r="G1989" s="58">
        <v>0.22800000000000001</v>
      </c>
      <c r="H1989" s="10">
        <f t="shared" si="65"/>
        <v>19.790400000000002</v>
      </c>
      <c r="I1989" s="56">
        <v>3500</v>
      </c>
      <c r="J1989" s="11">
        <v>-2000</v>
      </c>
      <c r="K1989" s="56">
        <v>-790</v>
      </c>
      <c r="L1989" s="11">
        <f t="shared" si="67"/>
        <v>-2790</v>
      </c>
      <c r="M1989" s="11">
        <f t="shared" si="68"/>
        <v>710</v>
      </c>
    </row>
    <row r="1990" spans="1:18">
      <c r="A1990" s="7">
        <v>45819</v>
      </c>
      <c r="B1990" s="8">
        <f t="shared" ref="B1990:B2008" si="70">B1989-(4/90)</f>
        <v>86.211111111110156</v>
      </c>
      <c r="C1990" s="9">
        <f t="shared" si="69"/>
        <v>0.22193426988014081</v>
      </c>
      <c r="D1990" s="10">
        <f t="shared" si="66"/>
        <v>19.133199999999928</v>
      </c>
      <c r="E1990" s="57">
        <v>87.1</v>
      </c>
      <c r="F1990" s="10">
        <f>AVERAGE($E$1829:E1990)</f>
        <v>87.106172839506144</v>
      </c>
      <c r="G1990" s="58">
        <v>0.23200000000000001</v>
      </c>
      <c r="H1990" s="10">
        <f t="shared" si="65"/>
        <v>20.2072</v>
      </c>
      <c r="I1990" s="56">
        <v>3500</v>
      </c>
      <c r="J1990" s="11">
        <v>-2000</v>
      </c>
      <c r="K1990" s="56">
        <v>-624</v>
      </c>
      <c r="L1990" s="11">
        <f t="shared" si="67"/>
        <v>-2624</v>
      </c>
      <c r="M1990" s="11">
        <f t="shared" si="68"/>
        <v>876</v>
      </c>
    </row>
    <row r="1991" spans="1:18">
      <c r="A1991" s="7">
        <v>45820</v>
      </c>
      <c r="B1991" s="8">
        <f t="shared" si="70"/>
        <v>86.166666666665705</v>
      </c>
      <c r="C1991" s="9">
        <f t="shared" si="69"/>
        <v>0.22153294648613961</v>
      </c>
      <c r="D1991" s="10">
        <f t="shared" si="66"/>
        <v>19.088755555555483</v>
      </c>
      <c r="E1991" s="57">
        <v>86.9</v>
      </c>
      <c r="F1991" s="10">
        <f>AVERAGE($E$1829:E1991)</f>
        <v>87.104907975460094</v>
      </c>
      <c r="G1991" s="58">
        <v>0.23400000000000001</v>
      </c>
      <c r="H1991" s="10">
        <f t="shared" si="65"/>
        <v>20.334600000000002</v>
      </c>
      <c r="I1991" s="56">
        <v>3500</v>
      </c>
      <c r="J1991" s="11">
        <v>-2000</v>
      </c>
      <c r="K1991" s="56">
        <v>-482</v>
      </c>
      <c r="L1991" s="11">
        <f t="shared" si="67"/>
        <v>-2482</v>
      </c>
      <c r="M1991" s="11">
        <f t="shared" si="68"/>
        <v>1018</v>
      </c>
    </row>
    <row r="1992" spans="1:18">
      <c r="A1992" s="7">
        <v>45821</v>
      </c>
      <c r="B1992" s="8">
        <f t="shared" si="70"/>
        <v>86.122222222221254</v>
      </c>
      <c r="C1992" s="9">
        <f t="shared" si="69"/>
        <v>0.22113120887627569</v>
      </c>
      <c r="D1992" s="10">
        <f t="shared" si="66"/>
        <v>19.044311111111039</v>
      </c>
      <c r="E1992" s="57">
        <v>87.2</v>
      </c>
      <c r="F1992" s="10">
        <f>AVERAGE($E$1829:E1992)</f>
        <v>87.105487804878024</v>
      </c>
      <c r="G1992" s="58">
        <v>0.23499999999999999</v>
      </c>
      <c r="H1992" s="10">
        <f t="shared" si="65"/>
        <v>20.492000000000001</v>
      </c>
      <c r="I1992" s="56">
        <v>3500</v>
      </c>
      <c r="J1992" s="11">
        <v>-2000</v>
      </c>
      <c r="K1992" s="56">
        <v>-1260</v>
      </c>
      <c r="L1992" s="11">
        <f t="shared" si="67"/>
        <v>-3260</v>
      </c>
      <c r="M1992" s="11">
        <f t="shared" si="68"/>
        <v>240</v>
      </c>
    </row>
    <row r="1993" spans="1:18">
      <c r="A1993" s="7">
        <v>45822</v>
      </c>
      <c r="B1993" s="8">
        <f t="shared" si="70"/>
        <v>86.077777777776802</v>
      </c>
      <c r="C1993" s="9">
        <f t="shared" si="69"/>
        <v>0.22072905640893414</v>
      </c>
      <c r="D1993" s="10">
        <f t="shared" si="66"/>
        <v>18.999866666666595</v>
      </c>
      <c r="E1993" s="57">
        <v>87.5</v>
      </c>
      <c r="F1993" s="10">
        <f>AVERAGE($E$1829:E1993)</f>
        <v>87.107878787878761</v>
      </c>
      <c r="G1993" s="58">
        <v>0.23599999999999999</v>
      </c>
      <c r="H1993" s="10">
        <f t="shared" si="65"/>
        <v>20.65</v>
      </c>
      <c r="I1993" s="56">
        <v>3500</v>
      </c>
      <c r="J1993" s="11">
        <v>-2000</v>
      </c>
      <c r="K1993" s="56">
        <v>-475</v>
      </c>
      <c r="L1993" s="11">
        <f t="shared" si="67"/>
        <v>-2475</v>
      </c>
      <c r="M1993" s="11">
        <f t="shared" si="68"/>
        <v>1025</v>
      </c>
    </row>
    <row r="1994" spans="1:18">
      <c r="A1994" s="7">
        <v>45823</v>
      </c>
      <c r="B1994" s="8">
        <f t="shared" si="70"/>
        <v>86.033333333332351</v>
      </c>
      <c r="C1994" s="9">
        <f t="shared" si="69"/>
        <v>0.22032648844117436</v>
      </c>
      <c r="D1994" s="10">
        <f t="shared" si="66"/>
        <v>18.95542222222215</v>
      </c>
      <c r="E1994" s="57">
        <v>89.1</v>
      </c>
      <c r="F1994" s="10">
        <f>AVERAGE($E$1829:E1994)</f>
        <v>87.119879518072267</v>
      </c>
      <c r="G1994" s="58">
        <v>0.217</v>
      </c>
      <c r="H1994" s="10">
        <f t="shared" si="65"/>
        <v>19.334699999999998</v>
      </c>
      <c r="I1994" s="56">
        <v>3500</v>
      </c>
      <c r="J1994" s="11">
        <v>-2000</v>
      </c>
      <c r="K1994" s="56">
        <v>-1195</v>
      </c>
      <c r="L1994" s="11">
        <f t="shared" si="67"/>
        <v>-3195</v>
      </c>
      <c r="M1994" s="11">
        <f t="shared" si="68"/>
        <v>305</v>
      </c>
    </row>
    <row r="1995" spans="1:18">
      <c r="A1995" s="7">
        <v>45824</v>
      </c>
      <c r="B1995" s="8">
        <f t="shared" si="70"/>
        <v>85.988888888887899</v>
      </c>
      <c r="C1995" s="9">
        <f t="shared" si="69"/>
        <v>0.21992350432872634</v>
      </c>
      <c r="D1995" s="10">
        <f t="shared" si="66"/>
        <v>18.910977777777706</v>
      </c>
      <c r="E1995" s="57">
        <v>87.9</v>
      </c>
      <c r="F1995" s="10">
        <f>AVERAGE($E$1829:E1995)</f>
        <v>87.124550898203566</v>
      </c>
      <c r="G1995" s="58">
        <v>0.22500000000000001</v>
      </c>
      <c r="H1995" s="10">
        <f t="shared" si="65"/>
        <v>19.777500000000003</v>
      </c>
      <c r="I1995" s="56">
        <v>3500</v>
      </c>
      <c r="J1995" s="11">
        <v>-2000</v>
      </c>
      <c r="K1995" s="56">
        <v>-501</v>
      </c>
      <c r="L1995" s="11">
        <f t="shared" si="67"/>
        <v>-2501</v>
      </c>
      <c r="M1995" s="11">
        <f t="shared" si="68"/>
        <v>999</v>
      </c>
    </row>
    <row r="1996" spans="1:18">
      <c r="A1996" s="7">
        <v>45825</v>
      </c>
      <c r="B1996" s="8">
        <f t="shared" si="70"/>
        <v>85.944444444443448</v>
      </c>
      <c r="C1996" s="9">
        <f t="shared" si="69"/>
        <v>0.21952010342598749</v>
      </c>
      <c r="D1996" s="10">
        <f t="shared" si="66"/>
        <v>18.866533333333262</v>
      </c>
      <c r="E1996" s="57">
        <v>87.2</v>
      </c>
      <c r="F1996" s="10">
        <f>AVERAGE($E$1829:E1996)</f>
        <v>87.124999999999972</v>
      </c>
      <c r="G1996" s="58">
        <v>0.22800000000000001</v>
      </c>
      <c r="H1996" s="10">
        <f t="shared" si="65"/>
        <v>19.881600000000002</v>
      </c>
      <c r="I1996" s="56">
        <v>3500</v>
      </c>
      <c r="J1996" s="11">
        <v>-2000</v>
      </c>
      <c r="K1996" s="56">
        <v>-967</v>
      </c>
      <c r="L1996" s="11">
        <f t="shared" si="67"/>
        <v>-2967</v>
      </c>
      <c r="M1996" s="11">
        <f t="shared" si="68"/>
        <v>533</v>
      </c>
    </row>
    <row r="1997" spans="1:18">
      <c r="A1997" s="7">
        <v>45826</v>
      </c>
      <c r="B1997" s="8">
        <f t="shared" si="70"/>
        <v>85.899999999998997</v>
      </c>
      <c r="C1997" s="9">
        <f t="shared" si="69"/>
        <v>0.21911628508601907</v>
      </c>
      <c r="D1997" s="10">
        <f t="shared" si="66"/>
        <v>18.822088888888818</v>
      </c>
      <c r="E1997" s="57">
        <v>87.3</v>
      </c>
      <c r="F1997" s="10">
        <f>AVERAGE($E$1829:E1997)</f>
        <v>87.126035502958558</v>
      </c>
      <c r="G1997" s="58">
        <v>0.22900000000000001</v>
      </c>
      <c r="H1997" s="10">
        <f t="shared" si="65"/>
        <v>19.991700000000002</v>
      </c>
      <c r="I1997" s="56">
        <v>3500</v>
      </c>
      <c r="J1997" s="11">
        <v>-2000</v>
      </c>
      <c r="K1997" s="56">
        <v>-506</v>
      </c>
      <c r="L1997" s="11">
        <f t="shared" si="67"/>
        <v>-2506</v>
      </c>
      <c r="M1997" s="11">
        <f t="shared" si="68"/>
        <v>994</v>
      </c>
    </row>
    <row r="1998" spans="1:18">
      <c r="A1998" s="7">
        <v>45827</v>
      </c>
      <c r="B1998" s="8">
        <f t="shared" si="70"/>
        <v>85.855555555554545</v>
      </c>
      <c r="C1998" s="9">
        <f t="shared" si="69"/>
        <v>0.2187120486605427</v>
      </c>
      <c r="D1998" s="10">
        <f t="shared" si="66"/>
        <v>18.777644444444373</v>
      </c>
      <c r="E1998" s="57">
        <v>87.2</v>
      </c>
      <c r="F1998" s="10">
        <f>AVERAGE($E$1829:E1998)</f>
        <v>87.126470588235279</v>
      </c>
      <c r="G1998" s="58">
        <v>0.23</v>
      </c>
      <c r="H1998" s="10">
        <f t="shared" si="65"/>
        <v>20.056000000000001</v>
      </c>
      <c r="I1998" s="56">
        <v>3500</v>
      </c>
      <c r="J1998" s="11">
        <v>-2000</v>
      </c>
      <c r="K1998" s="56">
        <v>-1027</v>
      </c>
      <c r="L1998" s="11">
        <f t="shared" si="67"/>
        <v>-3027</v>
      </c>
      <c r="M1998" s="11">
        <f t="shared" si="68"/>
        <v>473</v>
      </c>
    </row>
    <row r="1999" spans="1:18" ht="15" thickBot="1">
      <c r="A1999" s="59">
        <v>45828</v>
      </c>
      <c r="B1999" s="60">
        <f t="shared" si="70"/>
        <v>85.811111111110094</v>
      </c>
      <c r="C1999" s="61">
        <f t="shared" si="69"/>
        <v>0.21830739349993702</v>
      </c>
      <c r="D1999" s="62">
        <f t="shared" si="66"/>
        <v>18.733199999999929</v>
      </c>
      <c r="E1999" s="63">
        <v>88</v>
      </c>
      <c r="F1999" s="62">
        <f>AVERAGE($E$1829:E1999)</f>
        <v>87.131578947368396</v>
      </c>
      <c r="G1999" s="64">
        <v>0.22900000000000001</v>
      </c>
      <c r="H1999" s="62">
        <f t="shared" si="65"/>
        <v>20.152000000000001</v>
      </c>
      <c r="I1999" s="65">
        <v>3500</v>
      </c>
      <c r="J1999" s="66">
        <v>-2000</v>
      </c>
      <c r="K1999" s="65">
        <v>-779</v>
      </c>
      <c r="L1999" s="66">
        <f t="shared" si="67"/>
        <v>-2779</v>
      </c>
      <c r="M1999" s="66">
        <f t="shared" si="68"/>
        <v>721</v>
      </c>
      <c r="N1999" s="66"/>
      <c r="O1999" s="67"/>
      <c r="P1999" s="67"/>
    </row>
    <row r="2000" spans="1:18">
      <c r="A2000" s="7">
        <v>45829</v>
      </c>
      <c r="B2000" s="8">
        <f t="shared" si="70"/>
        <v>85.766666666665643</v>
      </c>
      <c r="C2000" s="9">
        <f t="shared" si="69"/>
        <v>0.21790231895323406</v>
      </c>
      <c r="D2000" s="10">
        <f t="shared" si="66"/>
        <v>18.688755555555485</v>
      </c>
      <c r="E2000" s="57">
        <v>88.3</v>
      </c>
      <c r="F2000" s="10">
        <f>AVERAGE($E$1829:E2000)</f>
        <v>87.138372093023236</v>
      </c>
      <c r="G2000" s="58">
        <v>0.22</v>
      </c>
      <c r="H2000" s="10">
        <f t="shared" si="65"/>
        <v>19.425999999999998</v>
      </c>
      <c r="I2000" s="56">
        <v>2703</v>
      </c>
      <c r="J2000" s="11">
        <v>-2000</v>
      </c>
      <c r="K2000" s="56">
        <v>-1589</v>
      </c>
      <c r="L2000" s="11">
        <f t="shared" si="67"/>
        <v>-3589</v>
      </c>
      <c r="M2000" s="11">
        <f t="shared" si="68"/>
        <v>-886</v>
      </c>
      <c r="R2000" t="s">
        <v>12</v>
      </c>
    </row>
    <row r="2001" spans="1:17">
      <c r="A2001" s="7">
        <v>45830</v>
      </c>
      <c r="B2001" s="8">
        <f t="shared" si="70"/>
        <v>85.722222222221191</v>
      </c>
      <c r="C2001" s="9">
        <f t="shared" si="69"/>
        <v>0.22916241088788269</v>
      </c>
      <c r="D2001" s="10">
        <f>D2000-(4/90)+1</f>
        <v>19.64431111111104</v>
      </c>
      <c r="E2001" s="57">
        <v>89</v>
      </c>
      <c r="F2001" s="10">
        <f>AVERAGE($E$1829:E2001)</f>
        <v>87.149132947976852</v>
      </c>
      <c r="G2001" s="58">
        <v>0.21299999999999999</v>
      </c>
      <c r="H2001" s="10">
        <f t="shared" si="65"/>
        <v>18.957000000000001</v>
      </c>
      <c r="I2001" s="11">
        <v>2267</v>
      </c>
      <c r="J2001" s="11">
        <v>-2000</v>
      </c>
      <c r="K2001" s="11">
        <v>-970</v>
      </c>
      <c r="L2001" s="11">
        <f t="shared" si="67"/>
        <v>-2970</v>
      </c>
      <c r="M2001" s="11">
        <f t="shared" si="68"/>
        <v>-703</v>
      </c>
    </row>
    <row r="2002" spans="1:17">
      <c r="A2002" s="7">
        <v>45831</v>
      </c>
      <c r="B2002" s="8">
        <f t="shared" si="70"/>
        <v>85.67777777777674</v>
      </c>
      <c r="C2002" s="44">
        <f t="shared" si="69"/>
        <v>0.22876254701076579</v>
      </c>
      <c r="D2002" s="10">
        <f t="shared" si="66"/>
        <v>19.599866666666596</v>
      </c>
      <c r="E2002" s="13">
        <v>88</v>
      </c>
      <c r="F2002" s="10">
        <f>AVERAGE($E$1829:E2002)</f>
        <v>87.154022988505716</v>
      </c>
      <c r="G2002" s="44">
        <v>0.214</v>
      </c>
      <c r="H2002" s="10">
        <f t="shared" si="65"/>
        <v>18.832000000000001</v>
      </c>
      <c r="I2002" s="11">
        <v>1787</v>
      </c>
      <c r="J2002" s="11">
        <v>-2000</v>
      </c>
      <c r="K2002" s="11">
        <v>-1245</v>
      </c>
      <c r="L2002" s="11">
        <f t="shared" si="67"/>
        <v>-3245</v>
      </c>
      <c r="M2002" s="11">
        <f t="shared" si="68"/>
        <v>-1458</v>
      </c>
    </row>
    <row r="2003" spans="1:17">
      <c r="A2003" s="7">
        <v>45832</v>
      </c>
      <c r="B2003" s="8">
        <f t="shared" si="70"/>
        <v>85.633333333332288</v>
      </c>
      <c r="C2003" s="44">
        <f t="shared" si="69"/>
        <v>0.22836226806799209</v>
      </c>
      <c r="D2003" s="10">
        <f t="shared" si="66"/>
        <v>19.555422222222152</v>
      </c>
      <c r="E2003" s="13">
        <v>87</v>
      </c>
      <c r="F2003" s="10">
        <f>AVERAGE($E$1829:E2003)</f>
        <v>87.153142857142839</v>
      </c>
      <c r="G2003" s="44">
        <v>0.219</v>
      </c>
      <c r="H2003" s="10">
        <f t="shared" si="65"/>
        <v>19.053000000000001</v>
      </c>
      <c r="I2003" s="11">
        <v>1872</v>
      </c>
      <c r="J2003" s="11">
        <v>-2000</v>
      </c>
      <c r="K2003" s="11">
        <v>-784</v>
      </c>
      <c r="L2003" s="11">
        <f t="shared" si="67"/>
        <v>-2784</v>
      </c>
      <c r="M2003" s="11">
        <f t="shared" si="68"/>
        <v>-912</v>
      </c>
    </row>
    <row r="2004" spans="1:17">
      <c r="A2004" s="7">
        <v>45833</v>
      </c>
      <c r="B2004" s="8">
        <f t="shared" si="70"/>
        <v>85.588888888887837</v>
      </c>
      <c r="C2004" s="44">
        <f t="shared" si="69"/>
        <v>0.22796157341295797</v>
      </c>
      <c r="D2004" s="10">
        <f t="shared" si="66"/>
        <v>19.510977777777708</v>
      </c>
      <c r="E2004" s="13">
        <v>85.9</v>
      </c>
      <c r="F2004" s="10">
        <f>AVERAGE($E$1829:E2004)</f>
        <v>87.146022727272694</v>
      </c>
      <c r="G2004" s="44">
        <v>0.222</v>
      </c>
      <c r="H2004" s="10">
        <f t="shared" si="65"/>
        <v>19.069800000000001</v>
      </c>
      <c r="I2004" s="11">
        <v>3000</v>
      </c>
      <c r="J2004" s="11">
        <v>-2000</v>
      </c>
      <c r="K2004" s="11">
        <v>-902</v>
      </c>
      <c r="L2004" s="11">
        <f t="shared" si="67"/>
        <v>-2902</v>
      </c>
      <c r="M2004" s="11">
        <f t="shared" si="68"/>
        <v>98</v>
      </c>
    </row>
    <row r="2005" spans="1:17">
      <c r="A2005" s="7">
        <v>45834</v>
      </c>
      <c r="B2005" s="8">
        <f t="shared" si="70"/>
        <v>85.544444444443386</v>
      </c>
      <c r="C2005" s="44">
        <f t="shared" si="69"/>
        <v>0.22756046239771599</v>
      </c>
      <c r="D2005" s="10">
        <f t="shared" si="66"/>
        <v>19.466533333333263</v>
      </c>
      <c r="E2005" s="13">
        <v>85.8</v>
      </c>
      <c r="F2005" s="10">
        <f>AVERAGE($E$1829:E2005)</f>
        <v>87.138418079096013</v>
      </c>
      <c r="G2005" s="44">
        <v>0.221</v>
      </c>
      <c r="H2005" s="10">
        <f t="shared" si="65"/>
        <v>18.9618</v>
      </c>
      <c r="I2005" s="11">
        <v>3000</v>
      </c>
      <c r="J2005" s="11">
        <v>-2000</v>
      </c>
      <c r="K2005" s="11">
        <v>-728</v>
      </c>
      <c r="L2005" s="11">
        <f t="shared" si="67"/>
        <v>-2728</v>
      </c>
      <c r="M2005" s="11">
        <f t="shared" si="68"/>
        <v>272</v>
      </c>
    </row>
    <row r="2006" spans="1:17">
      <c r="A2006" s="7">
        <v>45835</v>
      </c>
      <c r="B2006" s="8">
        <f t="shared" si="70"/>
        <v>85.499999999998934</v>
      </c>
      <c r="C2006" s="44">
        <f t="shared" si="69"/>
        <v>0.22715893437297147</v>
      </c>
      <c r="D2006" s="10">
        <f t="shared" si="66"/>
        <v>19.422088888888819</v>
      </c>
      <c r="E2006" s="13">
        <v>86</v>
      </c>
      <c r="F2006" s="10">
        <f>AVERAGE($E$1829:E2006)</f>
        <v>87.132022471910076</v>
      </c>
      <c r="G2006" s="44">
        <v>0.22</v>
      </c>
      <c r="H2006" s="10">
        <f t="shared" si="65"/>
        <v>18.920000000000002</v>
      </c>
      <c r="I2006" s="11">
        <v>3000</v>
      </c>
      <c r="J2006" s="11">
        <v>-2000</v>
      </c>
      <c r="K2006" s="11">
        <v>-728</v>
      </c>
      <c r="L2006" s="11">
        <f t="shared" si="67"/>
        <v>-2728</v>
      </c>
      <c r="M2006" s="11">
        <f t="shared" si="68"/>
        <v>272</v>
      </c>
    </row>
    <row r="2007" spans="1:17">
      <c r="A2007" s="7">
        <v>45836</v>
      </c>
      <c r="B2007" s="8">
        <f t="shared" si="70"/>
        <v>85.455555555554483</v>
      </c>
      <c r="C2007" s="44">
        <f t="shared" si="69"/>
        <v>0.226756988688079</v>
      </c>
      <c r="D2007" s="10">
        <f t="shared" si="66"/>
        <v>19.377644444444375</v>
      </c>
      <c r="E2007" s="13">
        <v>86.5</v>
      </c>
      <c r="F2007" s="10">
        <f>AVERAGE($E$1829:E2007)</f>
        <v>87.128491620111703</v>
      </c>
      <c r="G2007" s="44">
        <v>0.215</v>
      </c>
      <c r="H2007" s="10">
        <f t="shared" si="65"/>
        <v>18.5975</v>
      </c>
      <c r="I2007" s="11">
        <v>3000</v>
      </c>
      <c r="J2007" s="11">
        <v>-2000</v>
      </c>
      <c r="K2007" s="11">
        <v>-753</v>
      </c>
      <c r="L2007" s="11">
        <f t="shared" si="67"/>
        <v>-2753</v>
      </c>
      <c r="M2007" s="11">
        <f t="shared" si="68"/>
        <v>247</v>
      </c>
    </row>
    <row r="2008" spans="1:17">
      <c r="A2008" s="7">
        <v>45837</v>
      </c>
      <c r="B2008" s="8">
        <f t="shared" si="70"/>
        <v>85.411111111110031</v>
      </c>
      <c r="C2008" s="44">
        <f t="shared" si="69"/>
        <v>0.22635462469103887</v>
      </c>
      <c r="D2008" s="10">
        <f t="shared" si="66"/>
        <v>19.33319999999993</v>
      </c>
      <c r="E2008" s="13">
        <v>87.3</v>
      </c>
      <c r="F2008" s="10">
        <f>AVERAGE($E$1829:E2008)</f>
        <v>87.129444444444417</v>
      </c>
      <c r="G2008" s="44">
        <v>0.20799999999999999</v>
      </c>
      <c r="H2008" s="10">
        <f t="shared" si="65"/>
        <v>18.1584</v>
      </c>
      <c r="I2008" s="11">
        <v>3000</v>
      </c>
      <c r="J2008" s="11">
        <v>-2000</v>
      </c>
      <c r="K2008" s="11">
        <v>-604</v>
      </c>
      <c r="L2008" s="11">
        <f t="shared" si="67"/>
        <v>-2604</v>
      </c>
      <c r="M2008" s="11">
        <f t="shared" si="68"/>
        <v>396</v>
      </c>
    </row>
    <row r="2009" spans="1:17" s="55" customFormat="1" ht="15" thickBot="1">
      <c r="A2009" s="53">
        <v>45838</v>
      </c>
      <c r="B2009" s="8">
        <f>B2008-(4/90)+2.1</f>
        <v>87.466666666665574</v>
      </c>
      <c r="C2009" s="68">
        <v>0.15</v>
      </c>
      <c r="D2009" s="10">
        <f t="shared" si="66"/>
        <v>19.288755555555486</v>
      </c>
      <c r="E2009" s="69">
        <v>87.4</v>
      </c>
      <c r="F2009" s="70">
        <f>AVERAGE($E$1829:E2009)</f>
        <v>87.130939226519303</v>
      </c>
      <c r="G2009" s="44">
        <v>0.219</v>
      </c>
      <c r="H2009" s="10">
        <f t="shared" si="65"/>
        <v>19.140600000000003</v>
      </c>
      <c r="I2009" s="71">
        <v>3000</v>
      </c>
      <c r="J2009" s="11">
        <v>-2000</v>
      </c>
      <c r="K2009" s="71">
        <v>-351</v>
      </c>
      <c r="L2009" s="11">
        <f t="shared" si="67"/>
        <v>-2351</v>
      </c>
      <c r="M2009" s="11">
        <f t="shared" si="68"/>
        <v>649</v>
      </c>
      <c r="N2009" s="11"/>
      <c r="O2009" s="12"/>
      <c r="P2009" s="12"/>
      <c r="Q2009" s="54"/>
    </row>
    <row r="2010" spans="1:17">
      <c r="A2010" s="7">
        <v>45839</v>
      </c>
      <c r="B2010" s="8">
        <f>B2009-(2.5/30.25)</f>
        <v>87.3840220385664</v>
      </c>
      <c r="C2010" s="44">
        <f t="shared" ref="C2010:C2073" si="71">D2010/B2010</f>
        <v>0.22022688658823331</v>
      </c>
      <c r="D2010" s="10">
        <f t="shared" si="66"/>
        <v>19.244311111111042</v>
      </c>
      <c r="E2010" s="13">
        <v>87.55</v>
      </c>
      <c r="F2010" s="10">
        <f>AVERAGE($E$1829:E2010)</f>
        <v>87.133241758241724</v>
      </c>
      <c r="G2010" s="44">
        <v>0.219</v>
      </c>
      <c r="H2010" s="10">
        <f t="shared" si="65"/>
        <v>19.173449999999999</v>
      </c>
      <c r="I2010" s="11">
        <v>3000</v>
      </c>
      <c r="J2010" s="11">
        <v>-2000</v>
      </c>
      <c r="K2010" s="11">
        <v>-512</v>
      </c>
      <c r="L2010" s="11">
        <f t="shared" si="67"/>
        <v>-2512</v>
      </c>
      <c r="M2010" s="11">
        <f t="shared" si="68"/>
        <v>488</v>
      </c>
    </row>
    <row r="2011" spans="1:17">
      <c r="A2011" s="7">
        <v>45840</v>
      </c>
      <c r="B2011" s="8">
        <f>B2010-(2.5/30.25)</f>
        <v>87.301377410467225</v>
      </c>
      <c r="C2011" s="44">
        <f t="shared" si="71"/>
        <v>0.21992627420291516</v>
      </c>
      <c r="D2011" s="10">
        <f t="shared" si="66"/>
        <v>19.199866666666598</v>
      </c>
      <c r="E2011" s="13">
        <v>87.7</v>
      </c>
      <c r="F2011" s="10">
        <f>AVERAGE($E$1829:E2011)</f>
        <v>87.136338797814176</v>
      </c>
      <c r="G2011" s="44">
        <v>0.219</v>
      </c>
      <c r="H2011" s="10">
        <f t="shared" si="65"/>
        <v>19.206300000000002</v>
      </c>
      <c r="I2011" s="11">
        <v>3000</v>
      </c>
      <c r="J2011" s="11">
        <v>-2000</v>
      </c>
      <c r="K2011" s="11">
        <v>-791</v>
      </c>
      <c r="L2011" s="11">
        <f t="shared" si="67"/>
        <v>-2791</v>
      </c>
      <c r="M2011" s="11">
        <f t="shared" si="68"/>
        <v>209</v>
      </c>
    </row>
    <row r="2012" spans="1:17">
      <c r="A2012" s="7">
        <v>45841</v>
      </c>
      <c r="B2012" s="8">
        <f t="shared" ref="B2012:B2075" si="72">B2011-(2.5/30.25)</f>
        <v>87.21873278236805</v>
      </c>
      <c r="C2012" s="44">
        <f t="shared" si="71"/>
        <v>0.21962509212349587</v>
      </c>
      <c r="D2012" s="10">
        <f t="shared" si="66"/>
        <v>19.155422222222153</v>
      </c>
      <c r="E2012" s="13">
        <v>87.85</v>
      </c>
      <c r="F2012" s="10">
        <f>AVERAGE($E$1829:E2012)</f>
        <v>87.140217391304319</v>
      </c>
      <c r="G2012" s="44">
        <v>0.219</v>
      </c>
      <c r="H2012" s="10">
        <f t="shared" si="65"/>
        <v>19.239149999999999</v>
      </c>
      <c r="I2012" s="11">
        <v>3000</v>
      </c>
      <c r="J2012" s="11">
        <v>-2000</v>
      </c>
      <c r="K2012" s="11">
        <v>-729</v>
      </c>
      <c r="L2012" s="11">
        <f t="shared" si="67"/>
        <v>-2729</v>
      </c>
      <c r="M2012" s="11">
        <f t="shared" si="68"/>
        <v>271</v>
      </c>
    </row>
    <row r="2013" spans="1:17">
      <c r="A2013" s="7">
        <v>45842</v>
      </c>
      <c r="B2013" s="8">
        <f t="shared" si="72"/>
        <v>87.136088154268876</v>
      </c>
      <c r="C2013" s="44">
        <f t="shared" si="71"/>
        <v>0.21932333872898843</v>
      </c>
      <c r="D2013" s="10">
        <f t="shared" si="66"/>
        <v>19.110977777777709</v>
      </c>
      <c r="E2013" s="13">
        <v>88</v>
      </c>
      <c r="F2013" s="10">
        <f>AVERAGE($E$1829:E2013)</f>
        <v>87.144864864864829</v>
      </c>
      <c r="G2013" s="44">
        <v>0.219</v>
      </c>
      <c r="H2013" s="10">
        <f t="shared" si="65"/>
        <v>19.271999999999998</v>
      </c>
      <c r="I2013" s="11">
        <v>3000</v>
      </c>
      <c r="J2013" s="11">
        <v>-2000</v>
      </c>
      <c r="K2013" s="11">
        <v>-736</v>
      </c>
      <c r="L2013" s="11">
        <f t="shared" si="67"/>
        <v>-2736</v>
      </c>
      <c r="M2013" s="11">
        <f t="shared" si="68"/>
        <v>264</v>
      </c>
    </row>
    <row r="2014" spans="1:17">
      <c r="A2014" s="7">
        <v>45843</v>
      </c>
      <c r="B2014" s="8">
        <f t="shared" si="72"/>
        <v>87.053443526169701</v>
      </c>
      <c r="C2014" s="44">
        <f t="shared" si="71"/>
        <v>0.21902101239225016</v>
      </c>
      <c r="D2014" s="10">
        <f t="shared" si="66"/>
        <v>19.066533333333265</v>
      </c>
      <c r="E2014" s="13">
        <v>88.15</v>
      </c>
      <c r="F2014" s="10">
        <f>AVERAGE($E$1829:E2014)</f>
        <v>87.150268817204264</v>
      </c>
      <c r="G2014" s="44">
        <v>0.219</v>
      </c>
      <c r="H2014" s="10">
        <f t="shared" si="65"/>
        <v>19.304850000000002</v>
      </c>
      <c r="I2014" s="11">
        <v>3000</v>
      </c>
      <c r="J2014" s="11">
        <v>-2000</v>
      </c>
      <c r="K2014" s="11">
        <v>-195</v>
      </c>
      <c r="L2014" s="11">
        <f t="shared" si="67"/>
        <v>-2195</v>
      </c>
      <c r="M2014" s="11">
        <f t="shared" si="68"/>
        <v>805</v>
      </c>
    </row>
    <row r="2015" spans="1:17">
      <c r="A2015" s="7">
        <v>45844</v>
      </c>
      <c r="B2015" s="8">
        <f t="shared" si="72"/>
        <v>86.970798898070527</v>
      </c>
      <c r="C2015" s="44">
        <f t="shared" si="71"/>
        <v>0.21871811147995365</v>
      </c>
      <c r="D2015" s="10">
        <f t="shared" si="66"/>
        <v>19.02208888888882</v>
      </c>
      <c r="E2015" s="13">
        <v>88.3</v>
      </c>
      <c r="F2015" s="10">
        <f>AVERAGE($E$1829:E2015)</f>
        <v>87.156417112299422</v>
      </c>
      <c r="G2015" s="44">
        <v>0.219</v>
      </c>
      <c r="H2015" s="10">
        <f t="shared" si="65"/>
        <v>19.337699999999998</v>
      </c>
      <c r="I2015" s="11">
        <v>3000</v>
      </c>
      <c r="J2015" s="11">
        <v>-2000</v>
      </c>
      <c r="K2015" s="11">
        <v>-1207</v>
      </c>
      <c r="L2015" s="11">
        <f t="shared" si="67"/>
        <v>-3207</v>
      </c>
      <c r="M2015" s="11">
        <f t="shared" si="68"/>
        <v>-207</v>
      </c>
    </row>
    <row r="2016" spans="1:17">
      <c r="A2016" s="7">
        <v>45845</v>
      </c>
      <c r="B2016" s="8">
        <f t="shared" si="72"/>
        <v>86.888154269971352</v>
      </c>
      <c r="C2016" s="44">
        <f t="shared" si="71"/>
        <v>0.21841463435255723</v>
      </c>
      <c r="D2016" s="10">
        <f t="shared" si="66"/>
        <v>18.977644444444376</v>
      </c>
      <c r="E2016" s="13">
        <v>88.449999999999903</v>
      </c>
      <c r="F2016" s="10">
        <f>AVERAGE($E$1829:E2016)</f>
        <v>87.163297872340394</v>
      </c>
      <c r="G2016" s="44">
        <v>0.219</v>
      </c>
      <c r="H2016" s="10">
        <f t="shared" si="65"/>
        <v>19.37054999999998</v>
      </c>
      <c r="I2016" s="11">
        <v>3000</v>
      </c>
      <c r="J2016" s="11">
        <v>-2000</v>
      </c>
      <c r="K2016" s="11">
        <v>-735</v>
      </c>
      <c r="L2016" s="11">
        <f t="shared" si="67"/>
        <v>-2735</v>
      </c>
      <c r="M2016" s="11">
        <f t="shared" si="68"/>
        <v>265</v>
      </c>
    </row>
    <row r="2017" spans="1:16">
      <c r="A2017" s="7">
        <v>45846</v>
      </c>
      <c r="B2017" s="8">
        <f t="shared" si="72"/>
        <v>86.805509641872177</v>
      </c>
      <c r="C2017" s="44">
        <f t="shared" si="71"/>
        <v>0.21811057936427536</v>
      </c>
      <c r="D2017" s="10">
        <f t="shared" si="66"/>
        <v>18.933199999999932</v>
      </c>
      <c r="E2017" s="13">
        <v>88.599999999999895</v>
      </c>
      <c r="F2017" s="10">
        <f>AVERAGE($E$1829:E2017)</f>
        <v>87.170899470899428</v>
      </c>
      <c r="G2017" s="44">
        <v>0.219</v>
      </c>
      <c r="H2017" s="10">
        <f t="shared" si="65"/>
        <v>19.403399999999976</v>
      </c>
      <c r="I2017" s="11">
        <v>3000</v>
      </c>
      <c r="J2017" s="11">
        <v>-2000</v>
      </c>
      <c r="K2017" s="11">
        <v>-355</v>
      </c>
      <c r="L2017" s="11">
        <f t="shared" si="67"/>
        <v>-2355</v>
      </c>
      <c r="M2017" s="11">
        <f t="shared" si="68"/>
        <v>645</v>
      </c>
    </row>
    <row r="2018" spans="1:16">
      <c r="A2018" s="7">
        <v>45847</v>
      </c>
      <c r="B2018" s="8">
        <f t="shared" si="72"/>
        <v>86.722865013773003</v>
      </c>
      <c r="C2018" s="44">
        <f t="shared" si="71"/>
        <v>0.21780594486304905</v>
      </c>
      <c r="D2018" s="10">
        <f t="shared" si="66"/>
        <v>18.888755555555488</v>
      </c>
      <c r="E2018" s="13">
        <v>88.749999999999901</v>
      </c>
      <c r="F2018" s="10">
        <f>AVERAGE($E$1829:E2018)</f>
        <v>87.179210526315742</v>
      </c>
      <c r="G2018" s="44">
        <v>0.219</v>
      </c>
      <c r="H2018" s="10">
        <f t="shared" si="65"/>
        <v>19.43624999999998</v>
      </c>
      <c r="I2018" s="11">
        <v>3000</v>
      </c>
      <c r="J2018" s="11">
        <v>-2000</v>
      </c>
      <c r="K2018" s="11">
        <v>-624</v>
      </c>
      <c r="L2018" s="11">
        <f t="shared" si="67"/>
        <v>-2624</v>
      </c>
      <c r="M2018" s="11">
        <f t="shared" si="68"/>
        <v>376</v>
      </c>
    </row>
    <row r="2019" spans="1:16">
      <c r="A2019" s="7">
        <v>45848</v>
      </c>
      <c r="B2019" s="8">
        <f t="shared" si="72"/>
        <v>86.640220385673828</v>
      </c>
      <c r="C2019" s="44">
        <f t="shared" si="71"/>
        <v>0.21750072919051572</v>
      </c>
      <c r="D2019" s="10">
        <f t="shared" si="66"/>
        <v>18.844311111111043</v>
      </c>
      <c r="E2019" s="13">
        <v>88.899999999999906</v>
      </c>
      <c r="F2019" s="10">
        <f>AVERAGE($E$1829:E2019)</f>
        <v>87.188219895287929</v>
      </c>
      <c r="G2019" s="44">
        <v>0.219</v>
      </c>
      <c r="H2019" s="10">
        <f t="shared" si="65"/>
        <v>19.46909999999998</v>
      </c>
      <c r="I2019" s="11">
        <v>3000</v>
      </c>
      <c r="J2019" s="11">
        <v>-2000</v>
      </c>
      <c r="K2019" s="11">
        <v>-485</v>
      </c>
      <c r="L2019" s="11">
        <f t="shared" si="67"/>
        <v>-2485</v>
      </c>
      <c r="M2019" s="11">
        <f t="shared" si="68"/>
        <v>515</v>
      </c>
    </row>
    <row r="2020" spans="1:16">
      <c r="A2020" s="7">
        <v>45849</v>
      </c>
      <c r="B2020" s="8">
        <f t="shared" si="72"/>
        <v>86.557575757574654</v>
      </c>
      <c r="C2020" s="44">
        <f t="shared" si="71"/>
        <v>0.21719493068197931</v>
      </c>
      <c r="D2020" s="10">
        <f t="shared" si="66"/>
        <v>18.799866666666599</v>
      </c>
      <c r="E2020" s="13">
        <v>89.049999999999898</v>
      </c>
      <c r="F2020" s="10">
        <f>AVERAGE($E$1829:E2020)</f>
        <v>87.197916666666629</v>
      </c>
      <c r="G2020" s="44">
        <v>0.219</v>
      </c>
      <c r="H2020" s="10">
        <f t="shared" si="65"/>
        <v>19.501949999999976</v>
      </c>
      <c r="I2020" s="11">
        <v>3000</v>
      </c>
      <c r="J2020" s="11">
        <v>-2000</v>
      </c>
      <c r="K2020" s="11">
        <v>-585</v>
      </c>
      <c r="L2020" s="11">
        <f t="shared" si="67"/>
        <v>-2585</v>
      </c>
      <c r="M2020" s="11">
        <f t="shared" si="68"/>
        <v>415</v>
      </c>
    </row>
    <row r="2021" spans="1:16">
      <c r="A2021" s="7">
        <v>45850</v>
      </c>
      <c r="B2021" s="8">
        <f t="shared" si="72"/>
        <v>86.474931129475479</v>
      </c>
      <c r="C2021" s="44">
        <f t="shared" si="71"/>
        <v>0.21688854766637983</v>
      </c>
      <c r="D2021" s="10">
        <f t="shared" si="66"/>
        <v>18.755422222222155</v>
      </c>
      <c r="E2021" s="13">
        <v>89.199999999999903</v>
      </c>
      <c r="F2021" s="10">
        <f>AVERAGE($E$1829:E2021)</f>
        <v>87.20829015544038</v>
      </c>
      <c r="G2021" s="44">
        <v>0.219</v>
      </c>
      <c r="H2021" s="10">
        <f t="shared" si="65"/>
        <v>19.534799999999979</v>
      </c>
      <c r="I2021" s="11">
        <v>3000</v>
      </c>
      <c r="J2021" s="11">
        <v>-2000</v>
      </c>
      <c r="K2021" s="11">
        <v>-474</v>
      </c>
      <c r="L2021" s="11">
        <f t="shared" si="67"/>
        <v>-2474</v>
      </c>
      <c r="M2021" s="11">
        <f t="shared" si="68"/>
        <v>526</v>
      </c>
    </row>
    <row r="2022" spans="1:16" ht="15" thickBot="1">
      <c r="A2022" s="72">
        <v>45851</v>
      </c>
      <c r="B2022" s="73">
        <f t="shared" si="72"/>
        <v>86.392286501376304</v>
      </c>
      <c r="C2022" s="74">
        <f t="shared" si="71"/>
        <v>0.21658157846626305</v>
      </c>
      <c r="D2022" s="75">
        <f t="shared" si="66"/>
        <v>18.71097777777771</v>
      </c>
      <c r="E2022" s="76">
        <v>89.349999999999895</v>
      </c>
      <c r="F2022" s="75">
        <f>AVERAGE($E$1829:E2022)</f>
        <v>87.219329896907169</v>
      </c>
      <c r="G2022" s="74">
        <v>0.219</v>
      </c>
      <c r="H2022" s="75">
        <f t="shared" ref="H2022:H2045" si="73">G2022*E2022</f>
        <v>19.567649999999976</v>
      </c>
      <c r="I2022" s="77">
        <v>3000</v>
      </c>
      <c r="J2022" s="77">
        <v>-2000</v>
      </c>
      <c r="K2022" s="77">
        <v>-392</v>
      </c>
      <c r="L2022" s="77">
        <f t="shared" si="67"/>
        <v>-2392</v>
      </c>
      <c r="M2022" s="77">
        <f t="shared" si="68"/>
        <v>608</v>
      </c>
      <c r="N2022" s="77"/>
      <c r="O2022" s="78"/>
      <c r="P2022" s="78"/>
    </row>
    <row r="2023" spans="1:16" ht="15" thickTop="1">
      <c r="A2023" s="7">
        <v>45852</v>
      </c>
      <c r="B2023" s="8">
        <f t="shared" si="72"/>
        <v>86.30964187327713</v>
      </c>
      <c r="C2023" s="44">
        <f t="shared" si="71"/>
        <v>0.21627402139774987</v>
      </c>
      <c r="D2023" s="10">
        <f t="shared" ref="D2023:D2086" si="74">D2022-(4/90)</f>
        <v>18.666533333333266</v>
      </c>
      <c r="E2023" s="13">
        <v>89.2</v>
      </c>
      <c r="F2023" s="10">
        <f>AVERAGE($E$1829:E2023)</f>
        <v>87.229487179487137</v>
      </c>
      <c r="G2023" s="44">
        <v>0.219</v>
      </c>
      <c r="H2023" s="10">
        <f t="shared" si="73"/>
        <v>19.534800000000001</v>
      </c>
      <c r="I2023" s="11">
        <v>2051</v>
      </c>
      <c r="J2023" s="11">
        <v>-2000</v>
      </c>
      <c r="K2023" s="11">
        <v>-1159</v>
      </c>
      <c r="L2023" s="11">
        <f t="shared" si="67"/>
        <v>-3159</v>
      </c>
      <c r="M2023" s="11">
        <f t="shared" si="68"/>
        <v>-1108</v>
      </c>
    </row>
    <row r="2024" spans="1:16">
      <c r="A2024" s="7">
        <v>45853</v>
      </c>
      <c r="B2024" s="8">
        <f t="shared" si="72"/>
        <v>86.226997245177955</v>
      </c>
      <c r="C2024" s="44">
        <f t="shared" si="71"/>
        <v>0.21596587477050547</v>
      </c>
      <c r="D2024" s="10">
        <f t="shared" si="74"/>
        <v>18.622088888888822</v>
      </c>
      <c r="E2024" s="13">
        <v>87.9</v>
      </c>
      <c r="F2024" s="10">
        <f>AVERAGE($E$1829:E2024)</f>
        <v>87.232908163265279</v>
      </c>
      <c r="G2024" s="44">
        <v>0.218</v>
      </c>
      <c r="H2024" s="10">
        <f t="shared" si="73"/>
        <v>19.162200000000002</v>
      </c>
      <c r="I2024" s="11">
        <v>1833</v>
      </c>
      <c r="J2024" s="11">
        <v>-2000</v>
      </c>
      <c r="K2024" s="11">
        <v>-878</v>
      </c>
      <c r="L2024" s="11">
        <f t="shared" si="67"/>
        <v>-2878</v>
      </c>
      <c r="M2024" s="11">
        <f t="shared" si="68"/>
        <v>-1045</v>
      </c>
    </row>
    <row r="2025" spans="1:16">
      <c r="A2025" s="7">
        <v>45854</v>
      </c>
      <c r="B2025" s="8">
        <f t="shared" si="72"/>
        <v>86.144352617078781</v>
      </c>
      <c r="C2025" s="44">
        <f t="shared" si="71"/>
        <v>0.21565713688770838</v>
      </c>
      <c r="D2025" s="10">
        <f t="shared" si="74"/>
        <v>18.577644444444378</v>
      </c>
      <c r="E2025" s="13">
        <v>87.2</v>
      </c>
      <c r="F2025" s="10">
        <f>AVERAGE($E$1829:E2025)</f>
        <v>87.232741116751242</v>
      </c>
      <c r="G2025" s="44">
        <v>0.222</v>
      </c>
      <c r="H2025" s="10">
        <f t="shared" si="73"/>
        <v>19.3584</v>
      </c>
      <c r="I2025" s="11">
        <v>2140</v>
      </c>
      <c r="J2025" s="11">
        <v>-2000</v>
      </c>
      <c r="K2025" s="11">
        <v>-1602</v>
      </c>
      <c r="L2025" s="11">
        <f t="shared" si="67"/>
        <v>-3602</v>
      </c>
      <c r="M2025" s="11">
        <f t="shared" si="68"/>
        <v>-1462</v>
      </c>
    </row>
    <row r="2026" spans="1:16">
      <c r="A2026" s="7">
        <v>45855</v>
      </c>
      <c r="B2026" s="8">
        <f t="shared" si="72"/>
        <v>86.061707988979606</v>
      </c>
      <c r="C2026" s="44">
        <f t="shared" si="71"/>
        <v>0.21534780604601933</v>
      </c>
      <c r="D2026" s="10">
        <f t="shared" si="74"/>
        <v>18.533199999999933</v>
      </c>
      <c r="E2026" s="13">
        <v>86.7</v>
      </c>
      <c r="F2026" s="10">
        <f>AVERAGE($E$1829:E2026)</f>
        <v>87.230050505050485</v>
      </c>
      <c r="G2026" s="44">
        <v>0.22800000000000001</v>
      </c>
      <c r="H2026" s="10">
        <f t="shared" si="73"/>
        <v>19.767600000000002</v>
      </c>
      <c r="I2026" s="11">
        <v>1461</v>
      </c>
      <c r="J2026" s="11">
        <v>-2000</v>
      </c>
      <c r="K2026" s="11">
        <v>-667</v>
      </c>
      <c r="L2026" s="11">
        <f t="shared" si="67"/>
        <v>-2667</v>
      </c>
      <c r="M2026" s="11">
        <f t="shared" si="68"/>
        <v>-1206</v>
      </c>
    </row>
    <row r="2027" spans="1:16">
      <c r="A2027" s="7">
        <v>45856</v>
      </c>
      <c r="B2027" s="8">
        <f t="shared" si="72"/>
        <v>85.979063360880431</v>
      </c>
      <c r="C2027" s="44">
        <f t="shared" si="71"/>
        <v>0.21503788053554998</v>
      </c>
      <c r="D2027" s="10">
        <f t="shared" si="74"/>
        <v>18.488755555555489</v>
      </c>
      <c r="E2027" s="13">
        <v>86.7</v>
      </c>
      <c r="F2027" s="10">
        <f>AVERAGE($E$1829:E2027)</f>
        <v>87.227386934673348</v>
      </c>
      <c r="G2027" s="44">
        <v>0.223</v>
      </c>
      <c r="H2027" s="10">
        <f t="shared" si="73"/>
        <v>19.334099999999999</v>
      </c>
      <c r="I2027" s="11">
        <v>2329</v>
      </c>
      <c r="J2027" s="11">
        <v>-2000</v>
      </c>
      <c r="K2027" s="11">
        <v>-1136</v>
      </c>
      <c r="L2027" s="11">
        <f t="shared" si="67"/>
        <v>-3136</v>
      </c>
      <c r="M2027" s="11">
        <f t="shared" si="68"/>
        <v>-807</v>
      </c>
    </row>
    <row r="2028" spans="1:16">
      <c r="A2028" s="7">
        <v>45857</v>
      </c>
      <c r="B2028" s="8">
        <f t="shared" si="72"/>
        <v>85.896418732781257</v>
      </c>
      <c r="C2028" s="44">
        <f t="shared" si="71"/>
        <v>0.21472735863983131</v>
      </c>
      <c r="D2028" s="10">
        <f t="shared" si="74"/>
        <v>18.444311111111045</v>
      </c>
      <c r="E2028" s="13">
        <v>86.7</v>
      </c>
      <c r="F2028" s="10">
        <f>AVERAGE($E$1829:E2028)</f>
        <v>87.224749999999986</v>
      </c>
      <c r="G2028" s="44">
        <v>0.224</v>
      </c>
      <c r="H2028" s="10">
        <f t="shared" si="73"/>
        <v>19.4208</v>
      </c>
      <c r="I2028" s="11">
        <v>2941</v>
      </c>
      <c r="J2028" s="11">
        <v>-2000</v>
      </c>
      <c r="K2028" s="11">
        <v>-752</v>
      </c>
      <c r="L2028" s="11">
        <f t="shared" si="67"/>
        <v>-2752</v>
      </c>
      <c r="M2028" s="11">
        <f t="shared" si="68"/>
        <v>189</v>
      </c>
    </row>
    <row r="2029" spans="1:16">
      <c r="A2029" s="7">
        <v>45858</v>
      </c>
      <c r="B2029" s="8">
        <f t="shared" si="72"/>
        <v>85.813774104682082</v>
      </c>
      <c r="C2029" s="44">
        <f t="shared" si="71"/>
        <v>0.21441623863578196</v>
      </c>
      <c r="D2029" s="10">
        <f t="shared" si="74"/>
        <v>18.3998666666666</v>
      </c>
      <c r="E2029" s="13">
        <v>87.4</v>
      </c>
      <c r="F2029" s="10">
        <f>AVERAGE($E$1829:E2029)</f>
        <v>87.225621890547259</v>
      </c>
      <c r="G2029" s="44">
        <v>0.22600000000000001</v>
      </c>
      <c r="H2029" s="10">
        <f t="shared" si="73"/>
        <v>19.752400000000002</v>
      </c>
      <c r="I2029" s="11">
        <v>2536</v>
      </c>
      <c r="J2029" s="11">
        <v>-2000</v>
      </c>
      <c r="K2029" s="11">
        <v>-602</v>
      </c>
      <c r="L2029" s="11">
        <f t="shared" si="67"/>
        <v>-2602</v>
      </c>
      <c r="M2029" s="11">
        <f t="shared" si="68"/>
        <v>-66</v>
      </c>
    </row>
    <row r="2030" spans="1:16">
      <c r="A2030" s="7">
        <v>45859</v>
      </c>
      <c r="B2030" s="8">
        <f t="shared" si="72"/>
        <v>85.731129476582908</v>
      </c>
      <c r="C2030" s="44">
        <f t="shared" si="71"/>
        <v>0.21410451879367648</v>
      </c>
      <c r="D2030" s="10">
        <f t="shared" si="74"/>
        <v>18.355422222222156</v>
      </c>
      <c r="E2030" s="13">
        <v>86.8</v>
      </c>
      <c r="F2030" s="10">
        <f>AVERAGE($E$1829:E2030)</f>
        <v>87.223514851485135</v>
      </c>
      <c r="G2030" s="44">
        <v>0.22800000000000001</v>
      </c>
      <c r="H2030" s="10">
        <f t="shared" si="73"/>
        <v>19.790400000000002</v>
      </c>
      <c r="I2030" s="11">
        <v>2303</v>
      </c>
      <c r="J2030" s="11">
        <v>-2000</v>
      </c>
      <c r="K2030" s="11">
        <v>-536</v>
      </c>
      <c r="L2030" s="11">
        <f t="shared" si="67"/>
        <v>-2536</v>
      </c>
      <c r="M2030" s="11">
        <f t="shared" si="68"/>
        <v>-233</v>
      </c>
    </row>
    <row r="2031" spans="1:16">
      <c r="A2031" s="7">
        <v>45860</v>
      </c>
      <c r="B2031" s="8">
        <f t="shared" si="72"/>
        <v>85.648484848483733</v>
      </c>
      <c r="C2031" s="44">
        <f t="shared" si="71"/>
        <v>0.21379219737711305</v>
      </c>
      <c r="D2031" s="10">
        <f t="shared" si="74"/>
        <v>18.310977777777712</v>
      </c>
      <c r="E2031" s="13">
        <v>86.6</v>
      </c>
      <c r="F2031" s="10">
        <f>AVERAGE($E$1829:E2031)</f>
        <v>87.22044334975368</v>
      </c>
      <c r="G2031" s="44">
        <v>0.22700000000000001</v>
      </c>
      <c r="H2031" s="10">
        <f t="shared" si="73"/>
        <v>19.658200000000001</v>
      </c>
      <c r="I2031" s="11">
        <v>2247</v>
      </c>
      <c r="J2031" s="11">
        <v>-2000</v>
      </c>
      <c r="K2031" s="11">
        <v>-728</v>
      </c>
      <c r="L2031" s="11">
        <f t="shared" si="67"/>
        <v>-2728</v>
      </c>
      <c r="M2031" s="11">
        <f t="shared" si="68"/>
        <v>-481</v>
      </c>
    </row>
    <row r="2032" spans="1:16">
      <c r="A2032" s="7">
        <v>45861</v>
      </c>
      <c r="B2032" s="8">
        <f t="shared" si="72"/>
        <v>85.565840220384558</v>
      </c>
      <c r="C2032" s="44">
        <f t="shared" si="71"/>
        <v>0.2134792726429815</v>
      </c>
      <c r="D2032" s="10">
        <f t="shared" si="74"/>
        <v>18.266533333333268</v>
      </c>
      <c r="E2032" s="13">
        <v>85.9</v>
      </c>
      <c r="F2032" s="10">
        <f>AVERAGE($E$1829:E2032)</f>
        <v>87.213970588235284</v>
      </c>
      <c r="G2032" s="44">
        <v>0.221</v>
      </c>
      <c r="H2032" s="10">
        <f t="shared" si="73"/>
        <v>18.983900000000002</v>
      </c>
      <c r="I2032" s="11">
        <v>1840</v>
      </c>
      <c r="J2032" s="11">
        <v>-2000</v>
      </c>
      <c r="K2032" s="11">
        <v>-596</v>
      </c>
      <c r="L2032" s="11">
        <f t="shared" si="67"/>
        <v>-2596</v>
      </c>
      <c r="M2032" s="11">
        <f t="shared" si="68"/>
        <v>-756</v>
      </c>
    </row>
    <row r="2033" spans="1:16">
      <c r="A2033" s="7">
        <v>45862</v>
      </c>
      <c r="B2033" s="8">
        <f t="shared" si="72"/>
        <v>85.483195592285384</v>
      </c>
      <c r="C2033" s="44">
        <f t="shared" si="71"/>
        <v>0.21316574284143064</v>
      </c>
      <c r="D2033" s="10">
        <f t="shared" si="74"/>
        <v>18.222088888888823</v>
      </c>
      <c r="E2033" s="13">
        <v>85.6</v>
      </c>
      <c r="F2033" s="10">
        <f>AVERAGE($E$1829:E2033)</f>
        <v>87.206097560975593</v>
      </c>
      <c r="G2033" s="44">
        <v>0.22</v>
      </c>
      <c r="H2033" s="10">
        <f t="shared" si="73"/>
        <v>18.831999999999997</v>
      </c>
      <c r="I2033" s="11">
        <v>1683</v>
      </c>
      <c r="J2033" s="11">
        <v>-2000</v>
      </c>
      <c r="K2033" s="11">
        <v>-839</v>
      </c>
      <c r="L2033" s="11">
        <f t="shared" si="67"/>
        <v>-2839</v>
      </c>
      <c r="M2033" s="11">
        <f t="shared" si="68"/>
        <v>-1156</v>
      </c>
    </row>
    <row r="2034" spans="1:16">
      <c r="A2034" s="7">
        <v>45863</v>
      </c>
      <c r="B2034" s="8">
        <f t="shared" si="72"/>
        <v>85.400550964186209</v>
      </c>
      <c r="C2034" s="44">
        <f t="shared" si="71"/>
        <v>0.21285160621583579</v>
      </c>
      <c r="D2034" s="10">
        <f t="shared" si="74"/>
        <v>18.177644444444379</v>
      </c>
      <c r="E2034" s="13">
        <v>85.1</v>
      </c>
      <c r="F2034" s="10">
        <f>AVERAGE($E$1829:E2034)</f>
        <v>87.195873786407745</v>
      </c>
      <c r="G2034" s="44">
        <v>0.22</v>
      </c>
      <c r="H2034" s="10">
        <f t="shared" si="73"/>
        <v>18.721999999999998</v>
      </c>
      <c r="I2034" s="11">
        <v>2287</v>
      </c>
      <c r="J2034" s="11">
        <v>-2000</v>
      </c>
      <c r="K2034" s="11">
        <v>-547</v>
      </c>
      <c r="L2034" s="11">
        <f t="shared" si="67"/>
        <v>-2547</v>
      </c>
      <c r="M2034" s="11">
        <f t="shared" si="68"/>
        <v>-260</v>
      </c>
    </row>
    <row r="2035" spans="1:16">
      <c r="A2035" s="7">
        <v>45864</v>
      </c>
      <c r="B2035" s="8">
        <f t="shared" si="72"/>
        <v>85.317906336087034</v>
      </c>
      <c r="C2035" s="44">
        <f t="shared" si="71"/>
        <v>0.21253686100276595</v>
      </c>
      <c r="D2035" s="10">
        <f t="shared" si="74"/>
        <v>18.133199999999935</v>
      </c>
      <c r="E2035" s="13">
        <v>85.4</v>
      </c>
      <c r="F2035" s="10">
        <f>AVERAGE($E$1829:E2035)</f>
        <v>87.187198067632835</v>
      </c>
      <c r="G2035" s="44">
        <v>0.221</v>
      </c>
      <c r="H2035" s="10">
        <f t="shared" si="73"/>
        <v>18.8734</v>
      </c>
      <c r="I2035" s="11">
        <v>2658</v>
      </c>
      <c r="J2035" s="11">
        <v>-2000</v>
      </c>
      <c r="K2035" s="11">
        <v>-417</v>
      </c>
      <c r="L2035" s="11">
        <f t="shared" si="67"/>
        <v>-2417</v>
      </c>
      <c r="M2035" s="11">
        <f t="shared" si="68"/>
        <v>241</v>
      </c>
    </row>
    <row r="2036" spans="1:16" ht="15" thickBot="1">
      <c r="A2036" s="59">
        <v>45865</v>
      </c>
      <c r="B2036" s="60">
        <f t="shared" si="72"/>
        <v>85.23526170798786</v>
      </c>
      <c r="C2036" s="79">
        <f t="shared" si="71"/>
        <v>0.21222150543195076</v>
      </c>
      <c r="D2036" s="62">
        <f t="shared" si="74"/>
        <v>18.08875555555549</v>
      </c>
      <c r="E2036" s="80">
        <v>86.3</v>
      </c>
      <c r="F2036" s="62">
        <f>AVERAGE($E$1829:E2036)</f>
        <v>87.182932692307674</v>
      </c>
      <c r="G2036" s="79">
        <v>0.216</v>
      </c>
      <c r="H2036" s="62">
        <f t="shared" si="73"/>
        <v>18.640799999999999</v>
      </c>
      <c r="I2036" s="66">
        <v>1773</v>
      </c>
      <c r="J2036" s="66">
        <v>-2000</v>
      </c>
      <c r="K2036" s="11">
        <v>-538</v>
      </c>
      <c r="L2036" s="66">
        <f t="shared" si="67"/>
        <v>-2538</v>
      </c>
      <c r="M2036" s="66">
        <f t="shared" si="68"/>
        <v>-765</v>
      </c>
      <c r="N2036" s="66"/>
      <c r="O2036" s="67"/>
      <c r="P2036" s="67"/>
    </row>
    <row r="2037" spans="1:16">
      <c r="A2037" s="7">
        <v>45866</v>
      </c>
      <c r="B2037" s="8">
        <f t="shared" si="72"/>
        <v>85.152617079888685</v>
      </c>
      <c r="C2037" s="44">
        <f t="shared" si="71"/>
        <v>0.21190553772624734</v>
      </c>
      <c r="D2037" s="10">
        <f t="shared" si="74"/>
        <v>18.044311111111046</v>
      </c>
      <c r="E2037" s="13">
        <v>84.9</v>
      </c>
      <c r="F2037" s="10">
        <f>AVERAGE($E$1829:E2037)</f>
        <v>87.172009569377977</v>
      </c>
      <c r="G2037" s="44">
        <v>0.22800000000000001</v>
      </c>
      <c r="H2037" s="10">
        <f t="shared" si="73"/>
        <v>19.357200000000002</v>
      </c>
      <c r="I2037" s="11">
        <v>1773</v>
      </c>
      <c r="J2037" s="11">
        <v>-2000</v>
      </c>
      <c r="K2037" s="11">
        <v>-538</v>
      </c>
      <c r="L2037" s="11">
        <f t="shared" si="67"/>
        <v>-2538</v>
      </c>
      <c r="M2037" s="11">
        <f t="shared" si="68"/>
        <v>-765</v>
      </c>
    </row>
    <row r="2038" spans="1:16">
      <c r="A2038" s="7">
        <v>45867</v>
      </c>
      <c r="B2038" s="8">
        <f t="shared" si="72"/>
        <v>85.069972451789511</v>
      </c>
      <c r="C2038" s="44">
        <f t="shared" si="71"/>
        <v>0.21158895610160694</v>
      </c>
      <c r="D2038" s="10">
        <f t="shared" si="74"/>
        <v>17.999866666666602</v>
      </c>
      <c r="E2038" s="13">
        <v>84.9</v>
      </c>
      <c r="F2038" s="10">
        <f>AVERAGE($E$1829:E2038)</f>
        <v>87.16119047619047</v>
      </c>
      <c r="G2038" s="44">
        <v>0.22800000000000001</v>
      </c>
      <c r="H2038" s="10">
        <f t="shared" si="73"/>
        <v>19.357200000000002</v>
      </c>
      <c r="I2038" s="11">
        <v>1705</v>
      </c>
      <c r="J2038" s="11">
        <v>-2000</v>
      </c>
      <c r="K2038" s="11">
        <v>-642</v>
      </c>
      <c r="L2038" s="11">
        <f t="shared" si="67"/>
        <v>-2642</v>
      </c>
      <c r="M2038" s="11">
        <f t="shared" si="68"/>
        <v>-937</v>
      </c>
    </row>
    <row r="2039" spans="1:16">
      <c r="A2039" s="7">
        <v>45868</v>
      </c>
      <c r="B2039" s="8">
        <f t="shared" si="72"/>
        <v>84.987327823690336</v>
      </c>
      <c r="C2039" s="44">
        <f t="shared" si="71"/>
        <v>0.21127175876704124</v>
      </c>
      <c r="D2039" s="10">
        <f t="shared" si="74"/>
        <v>17.955422222222158</v>
      </c>
      <c r="E2039" s="13">
        <v>85.1</v>
      </c>
      <c r="F2039" s="10">
        <f>AVERAGE($E$1829:E2039)</f>
        <v>87.151421800947858</v>
      </c>
      <c r="G2039" s="44">
        <v>0.222</v>
      </c>
      <c r="H2039" s="10">
        <f t="shared" si="73"/>
        <v>18.892199999999999</v>
      </c>
      <c r="I2039" s="11">
        <v>1628</v>
      </c>
      <c r="J2039" s="11">
        <v>-2000</v>
      </c>
      <c r="K2039" s="11">
        <v>-780</v>
      </c>
      <c r="L2039" s="11">
        <f t="shared" si="67"/>
        <v>-2780</v>
      </c>
      <c r="M2039" s="11">
        <f t="shared" si="68"/>
        <v>-1152</v>
      </c>
    </row>
    <row r="2040" spans="1:16">
      <c r="A2040" s="7">
        <v>45869</v>
      </c>
      <c r="B2040" s="8">
        <f t="shared" si="72"/>
        <v>84.904683195591161</v>
      </c>
      <c r="C2040" s="44">
        <f t="shared" si="71"/>
        <v>0.21095394392458877</v>
      </c>
      <c r="D2040" s="10">
        <f t="shared" si="74"/>
        <v>17.910977777777713</v>
      </c>
      <c r="E2040" s="13">
        <v>85</v>
      </c>
      <c r="F2040" s="10">
        <f>AVERAGE($E$1829:E2040)</f>
        <v>87.141273584905647</v>
      </c>
      <c r="G2040" s="44">
        <v>0.219</v>
      </c>
      <c r="H2040" s="10">
        <f t="shared" si="73"/>
        <v>18.614999999999998</v>
      </c>
      <c r="I2040" s="11">
        <v>1791</v>
      </c>
      <c r="J2040" s="11">
        <v>-2000</v>
      </c>
      <c r="K2040" s="11">
        <v>-1071</v>
      </c>
      <c r="L2040" s="11">
        <f t="shared" si="67"/>
        <v>-3071</v>
      </c>
      <c r="M2040" s="11">
        <f t="shared" si="68"/>
        <v>-1280</v>
      </c>
    </row>
    <row r="2041" spans="1:16">
      <c r="A2041" s="7">
        <v>45870</v>
      </c>
      <c r="B2041" s="8">
        <f t="shared" si="72"/>
        <v>84.822038567491987</v>
      </c>
      <c r="C2041" s="44">
        <f t="shared" si="71"/>
        <v>0.21063550976928078</v>
      </c>
      <c r="D2041" s="10">
        <f t="shared" si="74"/>
        <v>17.866533333333269</v>
      </c>
      <c r="E2041" s="13">
        <v>84.4</v>
      </c>
      <c r="F2041" s="10">
        <f>AVERAGE($E$1829:E2041)</f>
        <v>87.128403755868533</v>
      </c>
      <c r="G2041" s="44">
        <v>0.218</v>
      </c>
      <c r="H2041" s="10">
        <f t="shared" si="73"/>
        <v>18.3992</v>
      </c>
      <c r="I2041" s="11">
        <v>3058</v>
      </c>
      <c r="J2041" s="11">
        <v>-2000</v>
      </c>
      <c r="K2041" s="11">
        <v>-857</v>
      </c>
      <c r="L2041" s="11">
        <f t="shared" ref="L2041:L2104" si="75">SUM(J2041:K2041)</f>
        <v>-2857</v>
      </c>
      <c r="M2041" s="11">
        <f t="shared" ref="M2041:M2104" si="76">I2041+J2041+K2041</f>
        <v>201</v>
      </c>
    </row>
    <row r="2042" spans="1:16">
      <c r="A2042" s="7">
        <v>45871</v>
      </c>
      <c r="B2042" s="8">
        <f t="shared" si="72"/>
        <v>84.739393939392812</v>
      </c>
      <c r="C2042" s="44">
        <f t="shared" si="71"/>
        <v>0.21031645448910707</v>
      </c>
      <c r="D2042" s="10">
        <f t="shared" si="74"/>
        <v>17.822088888888825</v>
      </c>
      <c r="E2042" s="13">
        <v>85.3</v>
      </c>
      <c r="F2042" s="10">
        <f>AVERAGE($E$1829:E2042)</f>
        <v>87.119859813084105</v>
      </c>
      <c r="G2042" s="44">
        <v>0.21299999999999999</v>
      </c>
      <c r="H2042" s="10">
        <f t="shared" si="73"/>
        <v>18.168900000000001</v>
      </c>
      <c r="I2042" s="11">
        <v>2556</v>
      </c>
      <c r="J2042" s="11">
        <v>-2000</v>
      </c>
      <c r="K2042" s="11">
        <v>-1063</v>
      </c>
      <c r="L2042" s="11">
        <f t="shared" si="75"/>
        <v>-3063</v>
      </c>
      <c r="M2042" s="11">
        <f t="shared" si="76"/>
        <v>-507</v>
      </c>
    </row>
    <row r="2043" spans="1:16">
      <c r="A2043" s="7">
        <v>45872</v>
      </c>
      <c r="B2043" s="8">
        <f t="shared" si="72"/>
        <v>84.656749311293638</v>
      </c>
      <c r="C2043" s="44">
        <f t="shared" si="71"/>
        <v>0.20999677626498178</v>
      </c>
      <c r="D2043" s="10">
        <f t="shared" si="74"/>
        <v>17.77764444444438</v>
      </c>
      <c r="E2043" s="13">
        <v>86</v>
      </c>
      <c r="F2043" s="10">
        <f>AVERAGE($E$1829:E2043)</f>
        <v>87.114651162790693</v>
      </c>
      <c r="G2043" s="44">
        <v>0.216</v>
      </c>
      <c r="H2043" s="10">
        <f t="shared" si="73"/>
        <v>18.576000000000001</v>
      </c>
      <c r="I2043" s="11">
        <v>2520</v>
      </c>
      <c r="J2043" s="11">
        <v>-2000</v>
      </c>
      <c r="K2043" s="11">
        <v>-390</v>
      </c>
      <c r="L2043" s="11">
        <f t="shared" si="75"/>
        <v>-2390</v>
      </c>
      <c r="M2043" s="11">
        <f t="shared" si="76"/>
        <v>130</v>
      </c>
    </row>
    <row r="2044" spans="1:16">
      <c r="A2044" s="7">
        <v>45873</v>
      </c>
      <c r="B2044" s="8">
        <f t="shared" si="72"/>
        <v>84.574104683194463</v>
      </c>
      <c r="C2044" s="9">
        <f t="shared" si="71"/>
        <v>0.20967647327070862</v>
      </c>
      <c r="D2044" s="10">
        <f t="shared" si="74"/>
        <v>17.733199999999936</v>
      </c>
      <c r="E2044" s="13">
        <v>86.3</v>
      </c>
      <c r="F2044" s="10">
        <f>AVERAGE($E$1829:E2044)</f>
        <v>87.110879629629622</v>
      </c>
      <c r="G2044" s="44">
        <v>0.21099999999999999</v>
      </c>
      <c r="H2044" s="10">
        <f t="shared" si="73"/>
        <v>18.209299999999999</v>
      </c>
      <c r="I2044" s="11">
        <v>1566</v>
      </c>
      <c r="J2044" s="11">
        <v>-2000</v>
      </c>
      <c r="K2044" s="11">
        <v>-626</v>
      </c>
      <c r="L2044" s="11">
        <f t="shared" si="75"/>
        <v>-2626</v>
      </c>
      <c r="M2044" s="11">
        <f t="shared" si="76"/>
        <v>-1060</v>
      </c>
    </row>
    <row r="2045" spans="1:16">
      <c r="A2045" s="7">
        <v>45874</v>
      </c>
      <c r="B2045" s="8">
        <f t="shared" si="72"/>
        <v>84.491460055095288</v>
      </c>
      <c r="C2045" s="9">
        <f t="shared" si="71"/>
        <v>0.2093555436729462</v>
      </c>
      <c r="D2045" s="10">
        <f t="shared" si="74"/>
        <v>17.688755555555492</v>
      </c>
      <c r="E2045" s="13">
        <v>84.3</v>
      </c>
      <c r="F2045" s="10">
        <f>AVERAGE($E$1829:E2045)</f>
        <v>87.097926267281096</v>
      </c>
      <c r="G2045" s="44">
        <v>0.223</v>
      </c>
      <c r="H2045" s="10">
        <f t="shared" si="73"/>
        <v>18.7989</v>
      </c>
      <c r="I2045" s="11">
        <v>1883</v>
      </c>
      <c r="J2045" s="11">
        <v>-2000</v>
      </c>
      <c r="K2045" s="11">
        <v>-765</v>
      </c>
      <c r="L2045" s="11">
        <f t="shared" si="75"/>
        <v>-2765</v>
      </c>
      <c r="M2045" s="11">
        <f t="shared" si="76"/>
        <v>-882</v>
      </c>
    </row>
    <row r="2046" spans="1:16">
      <c r="A2046" s="7">
        <v>45875</v>
      </c>
      <c r="B2046" s="8">
        <f t="shared" si="72"/>
        <v>84.408815426996114</v>
      </c>
      <c r="C2046" s="9">
        <f t="shared" si="71"/>
        <v>0.20903398563117309</v>
      </c>
      <c r="D2046" s="10">
        <f t="shared" si="74"/>
        <v>17.644311111111048</v>
      </c>
      <c r="E2046" s="13">
        <v>84.3</v>
      </c>
      <c r="F2046" s="10">
        <f>AVERAGE($E$1829:E2046)</f>
        <v>87.08509174311925</v>
      </c>
      <c r="G2046" s="44">
        <v>0.22500000000000001</v>
      </c>
      <c r="H2046" s="10">
        <f t="shared" ref="H2046:H2109" si="77">IF(E2046="","",G2046*E2046)</f>
        <v>18.967500000000001</v>
      </c>
      <c r="I2046" s="11">
        <v>2073</v>
      </c>
      <c r="J2046" s="11">
        <v>-2000</v>
      </c>
      <c r="K2046" s="11">
        <v>-870</v>
      </c>
      <c r="L2046" s="11">
        <f t="shared" si="75"/>
        <v>-2870</v>
      </c>
      <c r="M2046" s="11">
        <f t="shared" si="76"/>
        <v>-797</v>
      </c>
    </row>
    <row r="2047" spans="1:16">
      <c r="A2047" s="7">
        <v>45876</v>
      </c>
      <c r="B2047" s="8">
        <f t="shared" si="72"/>
        <v>84.326170798896939</v>
      </c>
      <c r="C2047" s="9">
        <f t="shared" si="71"/>
        <v>0.20871179729765252</v>
      </c>
      <c r="D2047" s="10">
        <f t="shared" si="74"/>
        <v>17.599866666666603</v>
      </c>
      <c r="E2047" s="13">
        <v>84.3</v>
      </c>
      <c r="F2047" s="10">
        <f>AVERAGE($E$1829:E2047)</f>
        <v>87.072374429223714</v>
      </c>
      <c r="G2047" s="44">
        <v>0.215</v>
      </c>
      <c r="H2047" s="10">
        <f t="shared" si="77"/>
        <v>18.124499999999998</v>
      </c>
      <c r="I2047" s="11">
        <v>1867</v>
      </c>
      <c r="J2047" s="11">
        <v>-2000</v>
      </c>
      <c r="K2047" s="11">
        <v>-912</v>
      </c>
      <c r="L2047" s="11">
        <f t="shared" si="75"/>
        <v>-2912</v>
      </c>
      <c r="M2047" s="11">
        <f t="shared" si="76"/>
        <v>-1045</v>
      </c>
    </row>
    <row r="2048" spans="1:16">
      <c r="A2048" s="7">
        <v>45877</v>
      </c>
      <c r="B2048" s="8">
        <f t="shared" si="72"/>
        <v>84.243526170797765</v>
      </c>
      <c r="C2048" s="9">
        <f t="shared" si="71"/>
        <v>0.20838897681739707</v>
      </c>
      <c r="D2048" s="10">
        <f t="shared" si="74"/>
        <v>17.555422222222159</v>
      </c>
      <c r="E2048" s="13">
        <v>83.5</v>
      </c>
      <c r="F2048" s="10">
        <f>AVERAGE($E$1829:E2048)</f>
        <v>87.056136363636341</v>
      </c>
      <c r="G2048" s="44">
        <v>0.217</v>
      </c>
      <c r="H2048" s="10">
        <f t="shared" si="77"/>
        <v>18.119499999999999</v>
      </c>
      <c r="I2048" s="11">
        <v>2027</v>
      </c>
      <c r="J2048" s="11">
        <v>-2000</v>
      </c>
      <c r="K2048" s="11">
        <v>-1320</v>
      </c>
      <c r="L2048" s="11">
        <f t="shared" si="75"/>
        <v>-3320</v>
      </c>
      <c r="M2048" s="11">
        <f t="shared" si="76"/>
        <v>-1293</v>
      </c>
    </row>
    <row r="2049" spans="1:13">
      <c r="A2049" s="7">
        <v>45878</v>
      </c>
      <c r="B2049" s="8">
        <f t="shared" si="72"/>
        <v>84.16088154269859</v>
      </c>
      <c r="C2049" s="9">
        <f t="shared" si="71"/>
        <v>0.20806552232813305</v>
      </c>
      <c r="D2049" s="10">
        <f t="shared" si="74"/>
        <v>17.510977777777715</v>
      </c>
      <c r="E2049" s="13">
        <v>83.1</v>
      </c>
      <c r="F2049" s="10">
        <f>AVERAGE($E$1829:E2049)</f>
        <v>87.038235294117612</v>
      </c>
      <c r="G2049" s="44">
        <v>0.223</v>
      </c>
      <c r="H2049" s="10">
        <f t="shared" si="77"/>
        <v>18.531299999999998</v>
      </c>
      <c r="I2049" s="11">
        <v>1527</v>
      </c>
      <c r="J2049" s="11">
        <v>-2000</v>
      </c>
      <c r="K2049" s="11">
        <v>-485</v>
      </c>
      <c r="L2049" s="11">
        <f t="shared" si="75"/>
        <v>-2485</v>
      </c>
      <c r="M2049" s="11">
        <f t="shared" si="76"/>
        <v>-958</v>
      </c>
    </row>
    <row r="2050" spans="1:13">
      <c r="A2050" s="7">
        <v>45879</v>
      </c>
      <c r="B2050" s="8">
        <f t="shared" si="72"/>
        <v>84.078236914599415</v>
      </c>
      <c r="C2050" s="9">
        <f t="shared" si="71"/>
        <v>0.20774143196026471</v>
      </c>
      <c r="D2050" s="10">
        <f t="shared" si="74"/>
        <v>17.46653333333327</v>
      </c>
      <c r="E2050" s="13">
        <v>84.2</v>
      </c>
      <c r="F2050" s="10">
        <f>AVERAGE($E$1829:E2050)</f>
        <v>87.025450450450421</v>
      </c>
      <c r="G2050" s="44">
        <v>0.20699999999999999</v>
      </c>
      <c r="H2050" s="10">
        <f t="shared" si="77"/>
        <v>17.429400000000001</v>
      </c>
      <c r="I2050" s="11">
        <v>2105</v>
      </c>
      <c r="J2050" s="11">
        <v>-2000</v>
      </c>
      <c r="K2050" s="11">
        <v>-927</v>
      </c>
      <c r="L2050" s="11">
        <f t="shared" si="75"/>
        <v>-2927</v>
      </c>
      <c r="M2050" s="11">
        <f t="shared" si="76"/>
        <v>-822</v>
      </c>
    </row>
    <row r="2051" spans="1:13">
      <c r="A2051" s="7">
        <v>45880</v>
      </c>
      <c r="B2051" s="8">
        <f t="shared" si="72"/>
        <v>83.995592286500241</v>
      </c>
      <c r="C2051" s="9">
        <f t="shared" si="71"/>
        <v>0.20741670383683813</v>
      </c>
      <c r="D2051" s="10">
        <f t="shared" si="74"/>
        <v>17.422088888888826</v>
      </c>
      <c r="E2051" s="13">
        <v>84</v>
      </c>
      <c r="F2051" s="10">
        <f>AVERAGE($E$1829:E2051)</f>
        <v>87.011883408071725</v>
      </c>
      <c r="G2051" s="44">
        <v>0.21</v>
      </c>
      <c r="H2051" s="10">
        <f t="shared" si="77"/>
        <v>17.64</v>
      </c>
      <c r="I2051" s="11">
        <v>1590</v>
      </c>
      <c r="J2051" s="11">
        <v>-2000</v>
      </c>
      <c r="K2051" s="11">
        <v>-659</v>
      </c>
      <c r="L2051" s="11">
        <f t="shared" si="75"/>
        <v>-2659</v>
      </c>
      <c r="M2051" s="11">
        <f t="shared" si="76"/>
        <v>-1069</v>
      </c>
    </row>
    <row r="2052" spans="1:13">
      <c r="A2052" s="7">
        <v>45881</v>
      </c>
      <c r="B2052" s="8">
        <f t="shared" si="72"/>
        <v>83.912947658401066</v>
      </c>
      <c r="C2052" s="9">
        <f t="shared" si="71"/>
        <v>0.20709133607350513</v>
      </c>
      <c r="D2052" s="10">
        <f t="shared" si="74"/>
        <v>17.377644444444382</v>
      </c>
      <c r="E2052" s="13">
        <v>83.2</v>
      </c>
      <c r="F2052" s="10">
        <f>AVERAGE($E$1829:E2052)</f>
        <v>86.994866071428547</v>
      </c>
      <c r="G2052" s="44">
        <v>0.21</v>
      </c>
      <c r="H2052" s="10">
        <f t="shared" si="77"/>
        <v>17.472000000000001</v>
      </c>
      <c r="I2052" s="11">
        <v>2235</v>
      </c>
      <c r="J2052" s="11">
        <v>-2000</v>
      </c>
      <c r="K2052" s="11">
        <v>-776</v>
      </c>
      <c r="L2052" s="11">
        <f t="shared" si="75"/>
        <v>-2776</v>
      </c>
      <c r="M2052" s="11">
        <f t="shared" si="76"/>
        <v>-541</v>
      </c>
    </row>
    <row r="2053" spans="1:13">
      <c r="A2053" s="7">
        <v>45882</v>
      </c>
      <c r="B2053" s="8">
        <f t="shared" si="72"/>
        <v>83.830303030301891</v>
      </c>
      <c r="C2053" s="9">
        <f t="shared" si="71"/>
        <v>0.20676532677848675</v>
      </c>
      <c r="D2053" s="10">
        <f t="shared" si="74"/>
        <v>17.333199999999938</v>
      </c>
      <c r="E2053" s="13">
        <v>83.4</v>
      </c>
      <c r="F2053" s="10">
        <f>AVERAGE($E$1829:E2053)</f>
        <v>86.978888888888875</v>
      </c>
      <c r="G2053" s="44">
        <v>0.21099999999999999</v>
      </c>
      <c r="H2053" s="10">
        <f t="shared" si="77"/>
        <v>17.5974</v>
      </c>
      <c r="I2053" s="11">
        <v>1944</v>
      </c>
      <c r="J2053" s="11">
        <v>-2000</v>
      </c>
      <c r="K2053" s="11">
        <v>-498</v>
      </c>
      <c r="L2053" s="11">
        <f t="shared" si="75"/>
        <v>-2498</v>
      </c>
      <c r="M2053" s="11">
        <f t="shared" si="76"/>
        <v>-554</v>
      </c>
    </row>
    <row r="2054" spans="1:13">
      <c r="A2054" s="7">
        <v>45883</v>
      </c>
      <c r="B2054" s="8">
        <f t="shared" si="72"/>
        <v>83.747658402202717</v>
      </c>
      <c r="C2054" s="9">
        <f t="shared" si="71"/>
        <v>0.20643867405253646</v>
      </c>
      <c r="D2054" s="10">
        <f t="shared" si="74"/>
        <v>17.288755555555493</v>
      </c>
      <c r="E2054" s="13">
        <v>83</v>
      </c>
      <c r="F2054" s="10">
        <f>AVERAGE($E$1829:E2054)</f>
        <v>86.961283185840685</v>
      </c>
      <c r="G2054" s="44">
        <v>0.20599999999999999</v>
      </c>
      <c r="H2054" s="10">
        <f t="shared" si="77"/>
        <v>17.097999999999999</v>
      </c>
      <c r="I2054" s="11">
        <v>1921</v>
      </c>
      <c r="J2054" s="11">
        <v>-2000</v>
      </c>
      <c r="K2054" s="11">
        <v>-496</v>
      </c>
      <c r="L2054" s="11">
        <f t="shared" si="75"/>
        <v>-2496</v>
      </c>
      <c r="M2054" s="11">
        <f t="shared" si="76"/>
        <v>-575</v>
      </c>
    </row>
    <row r="2055" spans="1:13">
      <c r="A2055" s="7">
        <v>45884</v>
      </c>
      <c r="B2055" s="8">
        <f t="shared" si="72"/>
        <v>83.665013774103542</v>
      </c>
      <c r="C2055" s="9">
        <f t="shared" si="71"/>
        <v>0.20611137598890356</v>
      </c>
      <c r="D2055" s="10">
        <f t="shared" si="74"/>
        <v>17.244311111111049</v>
      </c>
      <c r="E2055" s="13">
        <v>84.1</v>
      </c>
      <c r="F2055" s="10">
        <f>AVERAGE($E$1829:E2055)</f>
        <v>86.948678414096889</v>
      </c>
      <c r="G2055" s="44">
        <v>0.2</v>
      </c>
      <c r="H2055" s="10">
        <f t="shared" si="77"/>
        <v>16.82</v>
      </c>
      <c r="I2055" s="11">
        <v>1861</v>
      </c>
      <c r="J2055" s="11">
        <v>-2000</v>
      </c>
      <c r="K2055" s="11">
        <v>-733</v>
      </c>
      <c r="L2055" s="11">
        <f t="shared" si="75"/>
        <v>-2733</v>
      </c>
      <c r="M2055" s="11">
        <f t="shared" si="76"/>
        <v>-872</v>
      </c>
    </row>
    <row r="2056" spans="1:13">
      <c r="A2056" s="7">
        <v>45885</v>
      </c>
      <c r="B2056" s="8">
        <f t="shared" si="72"/>
        <v>83.582369146004368</v>
      </c>
      <c r="C2056" s="9">
        <f t="shared" si="71"/>
        <v>0.20578343067329577</v>
      </c>
      <c r="D2056" s="10">
        <f t="shared" si="74"/>
        <v>17.199866666666605</v>
      </c>
      <c r="E2056" s="13">
        <v>83.2</v>
      </c>
      <c r="F2056" s="10">
        <f>AVERAGE($E$1829:E2056)</f>
        <v>86.93223684210524</v>
      </c>
      <c r="G2056" s="44">
        <v>0.21099999999999999</v>
      </c>
      <c r="H2056" s="10">
        <f t="shared" si="77"/>
        <v>17.555199999999999</v>
      </c>
      <c r="I2056" s="11">
        <v>2000</v>
      </c>
      <c r="J2056" s="11">
        <v>-2000</v>
      </c>
      <c r="K2056" s="11">
        <v>-500</v>
      </c>
      <c r="L2056" s="11">
        <f t="shared" si="75"/>
        <v>-2500</v>
      </c>
      <c r="M2056" s="11">
        <f t="shared" si="76"/>
        <v>-500</v>
      </c>
    </row>
    <row r="2057" spans="1:13">
      <c r="A2057" s="7">
        <v>45886</v>
      </c>
      <c r="B2057" s="8">
        <f t="shared" si="72"/>
        <v>83.499724517905193</v>
      </c>
      <c r="C2057" s="9">
        <f t="shared" si="71"/>
        <v>0.20545483618384217</v>
      </c>
      <c r="D2057" s="10">
        <f t="shared" si="74"/>
        <v>17.15542222222216</v>
      </c>
      <c r="E2057" s="13">
        <v>84</v>
      </c>
      <c r="F2057" s="10">
        <f>AVERAGE($E$1829:E2057)</f>
        <v>86.919432314410457</v>
      </c>
      <c r="G2057" s="44">
        <v>0.20499999999999999</v>
      </c>
      <c r="H2057" s="10">
        <f t="shared" si="77"/>
        <v>17.22</v>
      </c>
      <c r="I2057" s="11">
        <v>2177</v>
      </c>
      <c r="J2057" s="11">
        <v>-2000</v>
      </c>
      <c r="K2057" s="11">
        <v>-434</v>
      </c>
      <c r="L2057" s="11">
        <f t="shared" si="75"/>
        <v>-2434</v>
      </c>
      <c r="M2057" s="11">
        <f t="shared" si="76"/>
        <v>-257</v>
      </c>
    </row>
    <row r="2058" spans="1:13">
      <c r="A2058" s="7">
        <v>45887</v>
      </c>
      <c r="B2058" s="8">
        <f t="shared" si="72"/>
        <v>83.417079889806018</v>
      </c>
      <c r="C2058" s="9">
        <f t="shared" si="71"/>
        <v>0.20512559059105548</v>
      </c>
      <c r="D2058" s="10">
        <f t="shared" si="74"/>
        <v>17.110977777777716</v>
      </c>
      <c r="E2058" s="13">
        <v>84.2</v>
      </c>
      <c r="F2058" s="10">
        <f>AVERAGE($E$1829:E2058)</f>
        <v>86.907608695652158</v>
      </c>
      <c r="G2058" s="44">
        <v>0.19400000000000001</v>
      </c>
      <c r="H2058" s="10">
        <f t="shared" si="77"/>
        <v>16.334800000000001</v>
      </c>
      <c r="I2058" s="11">
        <v>2086</v>
      </c>
      <c r="J2058" s="11">
        <v>-2000</v>
      </c>
      <c r="K2058" s="11">
        <v>-478</v>
      </c>
      <c r="L2058" s="11">
        <f t="shared" si="75"/>
        <v>-2478</v>
      </c>
      <c r="M2058" s="11">
        <f t="shared" si="76"/>
        <v>-392</v>
      </c>
    </row>
    <row r="2059" spans="1:13">
      <c r="A2059" s="7">
        <v>45888</v>
      </c>
      <c r="B2059" s="8">
        <f t="shared" si="72"/>
        <v>83.334435261706844</v>
      </c>
      <c r="C2059" s="9">
        <f t="shared" si="71"/>
        <v>0.20479569195779437</v>
      </c>
      <c r="D2059" s="10">
        <f t="shared" si="74"/>
        <v>17.066533333333272</v>
      </c>
      <c r="E2059" s="13">
        <v>83.3</v>
      </c>
      <c r="F2059" s="10">
        <f>AVERAGE($E$1829:E2059)</f>
        <v>86.891991341991329</v>
      </c>
      <c r="G2059" s="44">
        <v>0.20100000000000001</v>
      </c>
      <c r="H2059" s="10">
        <f t="shared" si="77"/>
        <v>16.743300000000001</v>
      </c>
      <c r="I2059" s="11">
        <v>1991</v>
      </c>
      <c r="J2059" s="11">
        <v>-2000</v>
      </c>
      <c r="K2059" s="11">
        <v>-582</v>
      </c>
      <c r="L2059" s="11">
        <f t="shared" si="75"/>
        <v>-2582</v>
      </c>
      <c r="M2059" s="11">
        <f t="shared" si="76"/>
        <v>-591</v>
      </c>
    </row>
    <row r="2060" spans="1:13">
      <c r="A2060" s="7">
        <v>45889</v>
      </c>
      <c r="B2060" s="8">
        <f t="shared" si="72"/>
        <v>83.251790633607669</v>
      </c>
      <c r="C2060" s="9">
        <f t="shared" si="71"/>
        <v>0.20446513833922547</v>
      </c>
      <c r="D2060" s="10">
        <f t="shared" si="74"/>
        <v>17.022088888888828</v>
      </c>
      <c r="E2060" s="13">
        <v>83.4</v>
      </c>
      <c r="F2060" s="10">
        <f>AVERAGE($E$1829:E2060)</f>
        <v>86.876939655172407</v>
      </c>
      <c r="G2060" s="44">
        <v>0.2</v>
      </c>
      <c r="H2060" s="10">
        <f t="shared" si="77"/>
        <v>16.680000000000003</v>
      </c>
      <c r="I2060" s="11">
        <v>2086</v>
      </c>
      <c r="J2060" s="11">
        <v>-2000</v>
      </c>
      <c r="K2060" s="11">
        <v>-561</v>
      </c>
      <c r="L2060" s="11">
        <f t="shared" si="75"/>
        <v>-2561</v>
      </c>
      <c r="M2060" s="11">
        <f t="shared" si="76"/>
        <v>-475</v>
      </c>
    </row>
    <row r="2061" spans="1:13">
      <c r="A2061" s="7">
        <v>45890</v>
      </c>
      <c r="B2061" s="8">
        <f t="shared" si="72"/>
        <v>83.169146005508495</v>
      </c>
      <c r="C2061" s="9">
        <f t="shared" si="71"/>
        <v>0.20413392778278514</v>
      </c>
      <c r="D2061" s="10">
        <f t="shared" si="74"/>
        <v>16.977644444444383</v>
      </c>
      <c r="E2061" s="13">
        <v>83.2</v>
      </c>
      <c r="F2061" s="10">
        <f>AVERAGE($E$1829:E2061)</f>
        <v>86.861158798283256</v>
      </c>
      <c r="G2061" s="44">
        <v>0.2</v>
      </c>
      <c r="H2061" s="10">
        <f t="shared" si="77"/>
        <v>16.64</v>
      </c>
      <c r="I2061" s="11">
        <v>1338</v>
      </c>
      <c r="J2061" s="11">
        <v>-2000</v>
      </c>
      <c r="K2061" s="11">
        <v>-790</v>
      </c>
      <c r="L2061" s="11">
        <f t="shared" si="75"/>
        <v>-2790</v>
      </c>
      <c r="M2061" s="11">
        <f t="shared" si="76"/>
        <v>-1452</v>
      </c>
    </row>
    <row r="2062" spans="1:13">
      <c r="A2062" s="7">
        <v>45891</v>
      </c>
      <c r="B2062" s="8">
        <f t="shared" si="72"/>
        <v>83.08650137740932</v>
      </c>
      <c r="C2062" s="9">
        <f t="shared" si="71"/>
        <v>0.20380205832814097</v>
      </c>
      <c r="D2062" s="10">
        <f t="shared" si="74"/>
        <v>16.933199999999939</v>
      </c>
      <c r="E2062" s="13">
        <v>81.900000000000006</v>
      </c>
      <c r="F2062" s="10">
        <f>AVERAGE($E$1829:E2062)</f>
        <v>86.839957264957263</v>
      </c>
      <c r="G2062" s="44">
        <v>0.20799999999999999</v>
      </c>
      <c r="H2062" s="10">
        <f t="shared" si="77"/>
        <v>17.0352</v>
      </c>
      <c r="I2062" s="11">
        <v>1360</v>
      </c>
      <c r="J2062" s="11">
        <v>-2000</v>
      </c>
      <c r="K2062" s="11">
        <v>-810</v>
      </c>
      <c r="L2062" s="11">
        <f t="shared" si="75"/>
        <v>-2810</v>
      </c>
      <c r="M2062" s="11">
        <f t="shared" si="76"/>
        <v>-1450</v>
      </c>
    </row>
    <row r="2063" spans="1:13">
      <c r="A2063" s="7">
        <v>45892</v>
      </c>
      <c r="B2063" s="8">
        <f t="shared" si="72"/>
        <v>83.003856749310145</v>
      </c>
      <c r="C2063" s="9">
        <f t="shared" si="71"/>
        <v>0.20346952800715323</v>
      </c>
      <c r="D2063" s="10">
        <f t="shared" si="74"/>
        <v>16.888755555555495</v>
      </c>
      <c r="E2063" s="13">
        <v>82.5</v>
      </c>
      <c r="F2063" s="10">
        <f>AVERAGE($E$1829:E2063)</f>
        <v>86.82148936170212</v>
      </c>
      <c r="G2063" s="44">
        <v>0.20899999999999999</v>
      </c>
      <c r="H2063" s="10">
        <f t="shared" si="77"/>
        <v>17.2425</v>
      </c>
      <c r="I2063" s="11">
        <v>1411</v>
      </c>
      <c r="J2063" s="11">
        <v>-2000</v>
      </c>
      <c r="K2063" s="11">
        <v>-544</v>
      </c>
      <c r="L2063" s="11">
        <f t="shared" si="75"/>
        <v>-2544</v>
      </c>
      <c r="M2063" s="11">
        <f t="shared" si="76"/>
        <v>-1133</v>
      </c>
    </row>
    <row r="2064" spans="1:13">
      <c r="A2064" s="7">
        <v>45893</v>
      </c>
      <c r="B2064" s="8">
        <f t="shared" si="72"/>
        <v>82.921212121210971</v>
      </c>
      <c r="C2064" s="9">
        <f t="shared" si="71"/>
        <v>0.20313633484383584</v>
      </c>
      <c r="D2064" s="10">
        <f t="shared" si="74"/>
        <v>16.84431111111105</v>
      </c>
      <c r="E2064" s="13">
        <v>83.2</v>
      </c>
      <c r="F2064" s="10">
        <f>AVERAGE($E$1829:E2064)</f>
        <v>86.806144067796609</v>
      </c>
      <c r="G2064" s="44">
        <v>0.20300000000000001</v>
      </c>
      <c r="H2064" s="10">
        <f t="shared" si="77"/>
        <v>16.889600000000002</v>
      </c>
      <c r="I2064" s="11">
        <v>1189</v>
      </c>
      <c r="J2064" s="11">
        <v>-2000</v>
      </c>
      <c r="K2064" s="11">
        <v>-1340</v>
      </c>
      <c r="L2064" s="11">
        <f t="shared" si="75"/>
        <v>-3340</v>
      </c>
      <c r="M2064" s="11">
        <f t="shared" si="76"/>
        <v>-2151</v>
      </c>
    </row>
    <row r="2065" spans="1:13">
      <c r="A2065" s="7">
        <v>45894</v>
      </c>
      <c r="B2065" s="8">
        <f t="shared" si="72"/>
        <v>82.838567493111796</v>
      </c>
      <c r="C2065" s="9">
        <f t="shared" si="71"/>
        <v>0.20280247685431729</v>
      </c>
      <c r="D2065" s="10">
        <f t="shared" si="74"/>
        <v>16.799866666666606</v>
      </c>
      <c r="E2065" s="13">
        <v>83.7</v>
      </c>
      <c r="F2065" s="10">
        <f>AVERAGE($E$1829:E2065)</f>
        <v>86.793037974683543</v>
      </c>
      <c r="G2065" s="44">
        <v>0.19900000000000001</v>
      </c>
      <c r="H2065" s="10">
        <f t="shared" si="77"/>
        <v>16.656300000000002</v>
      </c>
      <c r="I2065" s="11">
        <v>1580</v>
      </c>
      <c r="J2065" s="11">
        <v>-2000</v>
      </c>
      <c r="K2065" s="11">
        <v>-779</v>
      </c>
      <c r="L2065" s="11">
        <f t="shared" si="75"/>
        <v>-2779</v>
      </c>
      <c r="M2065" s="11">
        <f t="shared" si="76"/>
        <v>-1199</v>
      </c>
    </row>
    <row r="2066" spans="1:13">
      <c r="A2066" s="7">
        <v>45895</v>
      </c>
      <c r="B2066" s="8">
        <f t="shared" si="72"/>
        <v>82.755922865012622</v>
      </c>
      <c r="C2066" s="9">
        <f t="shared" si="71"/>
        <v>0.20246795204680129</v>
      </c>
      <c r="D2066" s="10">
        <f t="shared" si="74"/>
        <v>16.755422222222162</v>
      </c>
      <c r="E2066" s="13">
        <v>82.1</v>
      </c>
      <c r="F2066" s="10">
        <f>AVERAGE($E$1829:E2066)</f>
        <v>86.773319327731087</v>
      </c>
      <c r="G2066" s="44">
        <v>0.20300000000000001</v>
      </c>
      <c r="H2066" s="10">
        <f t="shared" si="77"/>
        <v>16.6663</v>
      </c>
      <c r="I2066" s="11">
        <v>1806</v>
      </c>
      <c r="J2066" s="11">
        <v>-2000</v>
      </c>
      <c r="K2066" s="11">
        <v>-594</v>
      </c>
      <c r="L2066" s="11">
        <f t="shared" si="75"/>
        <v>-2594</v>
      </c>
      <c r="M2066" s="11">
        <f t="shared" si="76"/>
        <v>-788</v>
      </c>
    </row>
    <row r="2067" spans="1:13">
      <c r="A2067" s="7">
        <v>45896</v>
      </c>
      <c r="B2067" s="8">
        <f t="shared" si="72"/>
        <v>82.673278236913447</v>
      </c>
      <c r="C2067" s="9">
        <f t="shared" si="71"/>
        <v>0.20213275842152709</v>
      </c>
      <c r="D2067" s="10">
        <f t="shared" si="74"/>
        <v>16.710977777777718</v>
      </c>
      <c r="E2067" s="13">
        <v>82.1</v>
      </c>
      <c r="F2067" s="10">
        <f>AVERAGE($E$1829:E2067)</f>
        <v>86.753765690376554</v>
      </c>
      <c r="G2067" s="44">
        <v>0.20399999999999999</v>
      </c>
      <c r="H2067" s="10">
        <f t="shared" si="77"/>
        <v>16.748399999999997</v>
      </c>
      <c r="I2067" s="11">
        <v>1958</v>
      </c>
      <c r="J2067" s="11">
        <v>-2000</v>
      </c>
      <c r="K2067" s="11">
        <v>-642</v>
      </c>
      <c r="L2067" s="11">
        <f t="shared" si="75"/>
        <v>-2642</v>
      </c>
      <c r="M2067" s="11">
        <f t="shared" si="76"/>
        <v>-684</v>
      </c>
    </row>
    <row r="2068" spans="1:13">
      <c r="A2068" s="7">
        <v>45897</v>
      </c>
      <c r="B2068" s="8">
        <f t="shared" si="72"/>
        <v>82.590633608814272</v>
      </c>
      <c r="C2068" s="9">
        <f t="shared" si="71"/>
        <v>0.20179689397072964</v>
      </c>
      <c r="D2068" s="10">
        <f t="shared" si="74"/>
        <v>16.666533333333273</v>
      </c>
      <c r="E2068" s="13">
        <v>81.8</v>
      </c>
      <c r="F2068" s="10">
        <f>AVERAGE($E$1829:E2068)</f>
        <v>86.733124999999987</v>
      </c>
      <c r="G2068" s="44">
        <v>0.20499999999999999</v>
      </c>
      <c r="H2068" s="10">
        <f t="shared" si="77"/>
        <v>16.768999999999998</v>
      </c>
      <c r="I2068" s="11">
        <v>1791</v>
      </c>
      <c r="J2068" s="11">
        <v>-2000</v>
      </c>
      <c r="K2068" s="11">
        <v>-516</v>
      </c>
      <c r="L2068" s="11">
        <f t="shared" si="75"/>
        <v>-2516</v>
      </c>
      <c r="M2068" s="11">
        <f t="shared" si="76"/>
        <v>-725</v>
      </c>
    </row>
    <row r="2069" spans="1:13">
      <c r="A2069" s="7">
        <v>45898</v>
      </c>
      <c r="B2069" s="8">
        <f t="shared" si="72"/>
        <v>82.507988980715098</v>
      </c>
      <c r="C2069" s="9">
        <f t="shared" si="71"/>
        <v>0.2014603566785996</v>
      </c>
      <c r="D2069" s="10">
        <f t="shared" si="74"/>
        <v>16.622088888888829</v>
      </c>
      <c r="E2069" s="13">
        <v>81.8</v>
      </c>
      <c r="F2069" s="10">
        <f>AVERAGE($E$1829:E2069)</f>
        <v>86.712655601659733</v>
      </c>
      <c r="G2069" s="44">
        <v>0.19900000000000001</v>
      </c>
      <c r="H2069" s="10">
        <f t="shared" si="77"/>
        <v>16.278200000000002</v>
      </c>
      <c r="I2069" s="11">
        <v>1882</v>
      </c>
      <c r="J2069" s="11">
        <v>-2000</v>
      </c>
      <c r="K2069" s="11">
        <v>-784</v>
      </c>
      <c r="L2069" s="11">
        <f t="shared" si="75"/>
        <v>-2784</v>
      </c>
      <c r="M2069" s="11">
        <f t="shared" si="76"/>
        <v>-902</v>
      </c>
    </row>
    <row r="2070" spans="1:13">
      <c r="A2070" s="7">
        <v>45899</v>
      </c>
      <c r="B2070" s="8">
        <f t="shared" si="72"/>
        <v>82.425344352615923</v>
      </c>
      <c r="C2070" s="9">
        <f t="shared" si="71"/>
        <v>0.20112314452124291</v>
      </c>
      <c r="D2070" s="10">
        <f t="shared" si="74"/>
        <v>16.577644444444385</v>
      </c>
      <c r="E2070" s="13">
        <v>81.400000000000006</v>
      </c>
      <c r="F2070" s="10">
        <f>AVERAGE($E$1829:E2070)</f>
        <v>86.690702479338839</v>
      </c>
      <c r="G2070" s="44">
        <v>0.20899999999999999</v>
      </c>
      <c r="H2070" s="10">
        <f t="shared" si="77"/>
        <v>17.012599999999999</v>
      </c>
      <c r="I2070" s="11">
        <v>1756</v>
      </c>
      <c r="J2070" s="11">
        <v>-2000</v>
      </c>
      <c r="K2070" s="11">
        <v>-449</v>
      </c>
      <c r="L2070" s="11">
        <f t="shared" si="75"/>
        <v>-2449</v>
      </c>
      <c r="M2070" s="11">
        <f t="shared" si="76"/>
        <v>-693</v>
      </c>
    </row>
    <row r="2071" spans="1:13">
      <c r="A2071" s="7">
        <v>45900</v>
      </c>
      <c r="B2071" s="8">
        <f t="shared" si="72"/>
        <v>82.342699724516748</v>
      </c>
      <c r="C2071" s="9">
        <f t="shared" si="71"/>
        <v>0.20078525546664022</v>
      </c>
      <c r="D2071" s="10">
        <f t="shared" si="74"/>
        <v>16.53319999999994</v>
      </c>
      <c r="E2071" s="13">
        <v>81.5</v>
      </c>
      <c r="F2071" s="10">
        <f>AVERAGE($E$1829:E2071)</f>
        <v>86.669341563786006</v>
      </c>
      <c r="G2071" s="44">
        <v>0.2</v>
      </c>
      <c r="H2071" s="10">
        <f t="shared" si="77"/>
        <v>16.3</v>
      </c>
      <c r="I2071" s="11">
        <v>1492</v>
      </c>
      <c r="J2071" s="11">
        <v>-2000</v>
      </c>
      <c r="K2071" s="11">
        <v>-2242</v>
      </c>
      <c r="L2071" s="11">
        <f t="shared" si="75"/>
        <v>-4242</v>
      </c>
      <c r="M2071" s="11">
        <f t="shared" si="76"/>
        <v>-2750</v>
      </c>
    </row>
    <row r="2072" spans="1:13">
      <c r="A2072" s="7">
        <v>45901</v>
      </c>
      <c r="B2072" s="8">
        <f>B2071-(2.5/30.25)-0.3</f>
        <v>81.960055096417577</v>
      </c>
      <c r="C2072" s="9">
        <f t="shared" si="71"/>
        <v>0.20118038642309563</v>
      </c>
      <c r="D2072" s="10">
        <f t="shared" si="74"/>
        <v>16.488755555555496</v>
      </c>
      <c r="E2072" s="13">
        <v>82.1</v>
      </c>
      <c r="F2072" s="10">
        <f>AVERAGE($E$1829:E2072)</f>
        <v>86.650614754098342</v>
      </c>
      <c r="G2072" s="44">
        <v>0.20100000000000001</v>
      </c>
      <c r="H2072" s="10">
        <f t="shared" si="77"/>
        <v>16.502099999999999</v>
      </c>
      <c r="I2072" s="11">
        <v>1577</v>
      </c>
      <c r="J2072" s="11">
        <v>-2000</v>
      </c>
      <c r="K2072" s="11">
        <v>-999</v>
      </c>
      <c r="L2072" s="11">
        <f t="shared" si="75"/>
        <v>-2999</v>
      </c>
      <c r="M2072" s="11">
        <f t="shared" si="76"/>
        <v>-1422</v>
      </c>
    </row>
    <row r="2073" spans="1:13">
      <c r="A2073" s="7">
        <v>45902</v>
      </c>
      <c r="B2073" s="8">
        <f t="shared" si="72"/>
        <v>81.877410468318402</v>
      </c>
      <c r="C2073" s="9">
        <f t="shared" si="71"/>
        <v>0.20084063500608637</v>
      </c>
      <c r="D2073" s="10">
        <f t="shared" si="74"/>
        <v>16.444311111111052</v>
      </c>
      <c r="E2073" s="13">
        <v>80.900000000000006</v>
      </c>
      <c r="F2073" s="10">
        <f>AVERAGE($E$1829:E2073)</f>
        <v>86.627142857142843</v>
      </c>
      <c r="G2073" s="44">
        <v>0.19800000000000001</v>
      </c>
      <c r="H2073" s="10">
        <f t="shared" si="77"/>
        <v>16.0182</v>
      </c>
      <c r="I2073" s="11">
        <v>2145</v>
      </c>
      <c r="J2073" s="11">
        <v>-2000</v>
      </c>
      <c r="K2073" s="11">
        <v>-846</v>
      </c>
      <c r="L2073" s="11">
        <f t="shared" si="75"/>
        <v>-2846</v>
      </c>
      <c r="M2073" s="11">
        <f t="shared" si="76"/>
        <v>-701</v>
      </c>
    </row>
    <row r="2074" spans="1:13">
      <c r="A2074" s="7">
        <v>45903</v>
      </c>
      <c r="B2074" s="8">
        <f t="shared" si="72"/>
        <v>81.794765840219227</v>
      </c>
      <c r="C2074" s="9">
        <f t="shared" ref="C2074:C2137" si="78">D2074/B2074</f>
        <v>0.20050019702608701</v>
      </c>
      <c r="D2074" s="10">
        <f t="shared" si="74"/>
        <v>16.399866666666608</v>
      </c>
      <c r="E2074" s="13">
        <v>80.8</v>
      </c>
      <c r="F2074" s="10">
        <f>AVERAGE($E$1829:E2074)</f>
        <v>86.603455284552837</v>
      </c>
      <c r="G2074" s="44">
        <v>0.19900000000000001</v>
      </c>
      <c r="H2074" s="10">
        <f t="shared" si="77"/>
        <v>16.0792</v>
      </c>
      <c r="I2074" s="11">
        <v>1781</v>
      </c>
      <c r="J2074" s="11">
        <v>-2000</v>
      </c>
      <c r="K2074" s="11">
        <v>-782</v>
      </c>
      <c r="L2074" s="11">
        <f t="shared" si="75"/>
        <v>-2782</v>
      </c>
      <c r="M2074" s="11">
        <f t="shared" si="76"/>
        <v>-1001</v>
      </c>
    </row>
    <row r="2075" spans="1:13">
      <c r="A2075" s="7">
        <v>45904</v>
      </c>
      <c r="B2075" s="8">
        <f t="shared" si="72"/>
        <v>81.712121212120053</v>
      </c>
      <c r="C2075" s="9">
        <f t="shared" si="78"/>
        <v>0.20015907039990322</v>
      </c>
      <c r="D2075" s="10">
        <f t="shared" si="74"/>
        <v>16.355422222222163</v>
      </c>
      <c r="E2075" s="13">
        <v>80.7</v>
      </c>
      <c r="F2075" s="10">
        <f>AVERAGE($E$1829:E2075)</f>
        <v>86.579554655870439</v>
      </c>
      <c r="G2075" s="44">
        <v>0.19400000000000001</v>
      </c>
      <c r="H2075" s="10">
        <f t="shared" si="77"/>
        <v>15.655800000000001</v>
      </c>
      <c r="I2075" s="11">
        <v>2505</v>
      </c>
      <c r="J2075" s="11">
        <v>-2000</v>
      </c>
      <c r="K2075" s="11">
        <v>-720</v>
      </c>
      <c r="L2075" s="11">
        <f t="shared" si="75"/>
        <v>-2720</v>
      </c>
      <c r="M2075" s="11">
        <f t="shared" si="76"/>
        <v>-215</v>
      </c>
    </row>
    <row r="2076" spans="1:13">
      <c r="A2076" s="7">
        <v>45905</v>
      </c>
      <c r="B2076" s="8">
        <f t="shared" ref="B2076:B2132" si="79">B2075-(2.5/30.25)</f>
        <v>81.629476584020878</v>
      </c>
      <c r="C2076" s="9">
        <f t="shared" si="78"/>
        <v>0.19981725303590422</v>
      </c>
      <c r="D2076" s="10">
        <f t="shared" si="74"/>
        <v>16.310977777777719</v>
      </c>
      <c r="E2076" s="13">
        <v>80.8</v>
      </c>
      <c r="F2076" s="10">
        <f>AVERAGE($E$1829:E2076)</f>
        <v>86.556249999999991</v>
      </c>
      <c r="G2076" s="44">
        <v>0.19400000000000001</v>
      </c>
      <c r="H2076" s="10">
        <f t="shared" si="77"/>
        <v>15.6752</v>
      </c>
      <c r="I2076" s="11">
        <v>1684</v>
      </c>
      <c r="J2076" s="11">
        <v>-2000</v>
      </c>
      <c r="K2076" s="11">
        <v>-854</v>
      </c>
      <c r="L2076" s="11">
        <f t="shared" si="75"/>
        <v>-2854</v>
      </c>
      <c r="M2076" s="11">
        <f t="shared" si="76"/>
        <v>-1170</v>
      </c>
    </row>
    <row r="2077" spans="1:13">
      <c r="A2077" s="7">
        <v>45906</v>
      </c>
      <c r="B2077" s="8">
        <f t="shared" si="79"/>
        <v>81.546831955921704</v>
      </c>
      <c r="C2077" s="9">
        <f t="shared" si="78"/>
        <v>0.19947474283398012</v>
      </c>
      <c r="D2077" s="10">
        <f t="shared" si="74"/>
        <v>16.266533333333275</v>
      </c>
      <c r="E2077" s="13">
        <v>80</v>
      </c>
      <c r="F2077" s="10">
        <f>AVERAGE($E$1829:E2077)</f>
        <v>86.529919678714847</v>
      </c>
      <c r="G2077" s="44">
        <v>0.20899999999999999</v>
      </c>
      <c r="H2077" s="10">
        <f t="shared" si="77"/>
        <v>16.72</v>
      </c>
      <c r="I2077" s="11">
        <v>2376</v>
      </c>
      <c r="J2077" s="11">
        <v>-2000</v>
      </c>
      <c r="K2077" s="11">
        <v>-1990</v>
      </c>
      <c r="L2077" s="11">
        <f t="shared" si="75"/>
        <v>-3990</v>
      </c>
      <c r="M2077" s="11">
        <f t="shared" si="76"/>
        <v>-1614</v>
      </c>
    </row>
    <row r="2078" spans="1:13">
      <c r="A2078" s="7">
        <v>45907</v>
      </c>
      <c r="B2078" s="8">
        <f t="shared" si="79"/>
        <v>81.464187327822529</v>
      </c>
      <c r="C2078" s="9">
        <f t="shared" si="78"/>
        <v>0.19913153768549885</v>
      </c>
      <c r="D2078" s="10">
        <f t="shared" si="74"/>
        <v>16.22208888888883</v>
      </c>
      <c r="E2078" s="13">
        <v>81</v>
      </c>
      <c r="F2078" s="10">
        <f>AVERAGE($E$1829:E2078)</f>
        <v>86.507799999999989</v>
      </c>
      <c r="G2078" s="44">
        <v>0.20399999999999999</v>
      </c>
      <c r="H2078" s="10">
        <f t="shared" si="77"/>
        <v>16.523999999999997</v>
      </c>
      <c r="I2078" s="11">
        <v>2302</v>
      </c>
      <c r="J2078" s="11">
        <v>-2000</v>
      </c>
      <c r="K2078" s="11">
        <v>-478</v>
      </c>
      <c r="L2078" s="11">
        <f t="shared" si="75"/>
        <v>-2478</v>
      </c>
      <c r="M2078" s="11">
        <f t="shared" si="76"/>
        <v>-176</v>
      </c>
    </row>
    <row r="2079" spans="1:13">
      <c r="A2079" s="7">
        <v>45908</v>
      </c>
      <c r="B2079" s="8">
        <f t="shared" si="79"/>
        <v>81.381542699723354</v>
      </c>
      <c r="C2079" s="9">
        <f t="shared" si="78"/>
        <v>0.19878763547326289</v>
      </c>
      <c r="D2079" s="10">
        <f t="shared" si="74"/>
        <v>16.177644444444386</v>
      </c>
      <c r="E2079" s="13">
        <v>81.2</v>
      </c>
      <c r="F2079" s="10">
        <f>AVERAGE($E$1829:E2079)</f>
        <v>86.486653386454179</v>
      </c>
      <c r="G2079" s="44">
        <v>0.192</v>
      </c>
      <c r="H2079" s="10">
        <f t="shared" si="77"/>
        <v>15.590400000000001</v>
      </c>
      <c r="I2079" s="11">
        <v>1836</v>
      </c>
      <c r="J2079" s="11">
        <v>-2000</v>
      </c>
      <c r="K2079" s="11">
        <v>-556</v>
      </c>
      <c r="L2079" s="11">
        <f t="shared" si="75"/>
        <v>-2556</v>
      </c>
      <c r="M2079" s="11">
        <f t="shared" si="76"/>
        <v>-720</v>
      </c>
    </row>
    <row r="2080" spans="1:13">
      <c r="A2080" s="7">
        <v>45909</v>
      </c>
      <c r="B2080" s="8">
        <f t="shared" si="79"/>
        <v>81.29889807162418</v>
      </c>
      <c r="C2080" s="9">
        <f t="shared" si="78"/>
        <v>0.1984430340714658</v>
      </c>
      <c r="D2080" s="10">
        <f t="shared" si="74"/>
        <v>16.133199999999942</v>
      </c>
      <c r="E2080" s="13">
        <v>80.599999999999994</v>
      </c>
      <c r="F2080" s="10">
        <f>AVERAGE($E$1829:E2080)</f>
        <v>86.463293650793631</v>
      </c>
      <c r="G2080" s="44">
        <v>0.19600000000000001</v>
      </c>
      <c r="H2080" s="10">
        <f t="shared" si="77"/>
        <v>15.797599999999999</v>
      </c>
      <c r="I2080" s="11">
        <v>1916</v>
      </c>
      <c r="J2080" s="11">
        <v>-2000</v>
      </c>
      <c r="K2080" s="11">
        <v>-595</v>
      </c>
      <c r="L2080" s="11">
        <f t="shared" si="75"/>
        <v>-2595</v>
      </c>
      <c r="M2080" s="11">
        <f t="shared" si="76"/>
        <v>-679</v>
      </c>
    </row>
    <row r="2081" spans="1:19">
      <c r="A2081" s="7">
        <v>45910</v>
      </c>
      <c r="B2081" s="8">
        <f t="shared" si="79"/>
        <v>81.216253443525005</v>
      </c>
      <c r="C2081" s="9">
        <f t="shared" si="78"/>
        <v>0.19809773134564826</v>
      </c>
      <c r="D2081" s="10">
        <f t="shared" si="74"/>
        <v>16.088755555555498</v>
      </c>
      <c r="E2081" s="13">
        <v>80.599999999999994</v>
      </c>
      <c r="F2081" s="10">
        <f>AVERAGE($E$1829:E2081)</f>
        <v>86.440118577075083</v>
      </c>
      <c r="G2081" s="44">
        <v>0.19600000000000001</v>
      </c>
      <c r="H2081" s="10">
        <f t="shared" si="77"/>
        <v>15.797599999999999</v>
      </c>
      <c r="I2081" s="11">
        <v>2051</v>
      </c>
      <c r="J2081" s="11">
        <v>-2000</v>
      </c>
      <c r="K2081" s="11">
        <v>-580</v>
      </c>
      <c r="L2081" s="11">
        <f t="shared" si="75"/>
        <v>-2580</v>
      </c>
      <c r="M2081" s="11">
        <f t="shared" si="76"/>
        <v>-529</v>
      </c>
      <c r="S2081" t="s">
        <v>13</v>
      </c>
    </row>
    <row r="2082" spans="1:19">
      <c r="A2082" s="7">
        <v>45911</v>
      </c>
      <c r="B2082" s="8">
        <f t="shared" si="79"/>
        <v>81.133608815425831</v>
      </c>
      <c r="C2082" s="9">
        <f t="shared" si="78"/>
        <v>0.19775172515265424</v>
      </c>
      <c r="D2082" s="10">
        <f t="shared" si="74"/>
        <v>16.044311111111053</v>
      </c>
      <c r="E2082" s="13">
        <v>79.599999999999994</v>
      </c>
      <c r="F2082" s="10">
        <f>AVERAGE($E$1829:E2082)</f>
        <v>86.413188976377924</v>
      </c>
      <c r="G2082" s="44">
        <v>0.19900000000000001</v>
      </c>
      <c r="H2082" s="10">
        <f t="shared" si="77"/>
        <v>15.840399999999999</v>
      </c>
      <c r="I2082" s="11">
        <v>1855</v>
      </c>
      <c r="J2082" s="11">
        <v>-2000</v>
      </c>
      <c r="K2082" s="11">
        <v>-512</v>
      </c>
      <c r="L2082" s="11">
        <f t="shared" si="75"/>
        <v>-2512</v>
      </c>
      <c r="M2082" s="11">
        <f t="shared" si="76"/>
        <v>-657</v>
      </c>
      <c r="S2082" t="s">
        <v>13</v>
      </c>
    </row>
    <row r="2083" spans="1:19">
      <c r="A2083" s="7">
        <v>45912</v>
      </c>
      <c r="B2083" s="8">
        <f t="shared" si="79"/>
        <v>81.050964187326656</v>
      </c>
      <c r="C2083" s="9">
        <f t="shared" si="78"/>
        <v>0.19740501334058641</v>
      </c>
      <c r="D2083" s="10">
        <f t="shared" si="74"/>
        <v>15.999866666666609</v>
      </c>
      <c r="E2083" s="13">
        <v>79.900000000000006</v>
      </c>
      <c r="F2083" s="10">
        <f>AVERAGE($E$1829:E2083)</f>
        <v>86.387647058823504</v>
      </c>
      <c r="G2083" s="44">
        <v>0.19700000000000001</v>
      </c>
      <c r="H2083" s="10">
        <f t="shared" si="77"/>
        <v>15.740300000000001</v>
      </c>
      <c r="I2083" s="11">
        <v>2222</v>
      </c>
      <c r="J2083" s="11">
        <v>-2000</v>
      </c>
      <c r="K2083" s="11">
        <v>-862</v>
      </c>
      <c r="L2083" s="11">
        <f t="shared" si="75"/>
        <v>-2862</v>
      </c>
      <c r="M2083" s="11">
        <f t="shared" si="76"/>
        <v>-640</v>
      </c>
      <c r="S2083" t="s">
        <v>13</v>
      </c>
    </row>
    <row r="2084" spans="1:19">
      <c r="A2084" s="7">
        <v>45913</v>
      </c>
      <c r="B2084" s="8">
        <f t="shared" si="79"/>
        <v>80.968319559227481</v>
      </c>
      <c r="C2084" s="9">
        <f t="shared" si="78"/>
        <v>0.19705759374876169</v>
      </c>
      <c r="D2084" s="10">
        <f t="shared" si="74"/>
        <v>15.955422222222165</v>
      </c>
      <c r="E2084" s="13">
        <v>79.5</v>
      </c>
      <c r="F2084" s="10">
        <f>AVERAGE($E$1829:E2084)</f>
        <v>86.36074218749998</v>
      </c>
      <c r="G2084" s="44">
        <v>0.20300000000000001</v>
      </c>
      <c r="H2084" s="10">
        <f t="shared" si="77"/>
        <v>16.138500000000001</v>
      </c>
      <c r="I2084" s="11">
        <v>2676</v>
      </c>
      <c r="J2084" s="11">
        <v>-2000</v>
      </c>
      <c r="K2084" s="11">
        <v>-545</v>
      </c>
      <c r="L2084" s="11">
        <f t="shared" si="75"/>
        <v>-2545</v>
      </c>
      <c r="M2084" s="11">
        <f t="shared" si="76"/>
        <v>131</v>
      </c>
      <c r="S2084" t="s">
        <v>13</v>
      </c>
    </row>
    <row r="2085" spans="1:19">
      <c r="A2085" s="7">
        <v>45914</v>
      </c>
      <c r="B2085" s="8">
        <f t="shared" si="79"/>
        <v>80.885674931128307</v>
      </c>
      <c r="C2085" s="9">
        <f t="shared" si="78"/>
        <v>0.19670946420766636</v>
      </c>
      <c r="D2085" s="10">
        <f t="shared" si="74"/>
        <v>15.91097777777772</v>
      </c>
      <c r="E2085" s="13">
        <v>80.8</v>
      </c>
      <c r="F2085" s="10">
        <f>AVERAGE($E$1829:E2085)</f>
        <v>86.339105058365732</v>
      </c>
      <c r="G2085" s="44">
        <v>0.19800000000000001</v>
      </c>
      <c r="H2085" s="10">
        <f t="shared" si="77"/>
        <v>15.9984</v>
      </c>
      <c r="I2085" s="11">
        <v>1420</v>
      </c>
      <c r="J2085" s="11">
        <v>-2000</v>
      </c>
      <c r="K2085" s="11">
        <v>-349</v>
      </c>
      <c r="L2085" s="11">
        <f t="shared" si="75"/>
        <v>-2349</v>
      </c>
      <c r="M2085" s="11">
        <f t="shared" si="76"/>
        <v>-929</v>
      </c>
    </row>
    <row r="2086" spans="1:19">
      <c r="A2086" s="7">
        <v>45915</v>
      </c>
      <c r="B2086" s="8">
        <f t="shared" si="79"/>
        <v>80.803030303029132</v>
      </c>
      <c r="C2086" s="9">
        <f t="shared" si="78"/>
        <v>0.19636062253891082</v>
      </c>
      <c r="D2086" s="10">
        <f t="shared" si="74"/>
        <v>15.866533333333276</v>
      </c>
      <c r="E2086" s="13">
        <v>81.2</v>
      </c>
      <c r="F2086" s="10">
        <f>AVERAGE($E$1829:E2086)</f>
        <v>86.319186046511604</v>
      </c>
      <c r="G2086" s="44">
        <v>0.186</v>
      </c>
      <c r="H2086" s="10">
        <f t="shared" si="77"/>
        <v>15.103200000000001</v>
      </c>
      <c r="I2086" s="11">
        <v>1607</v>
      </c>
      <c r="J2086" s="11">
        <v>-2000</v>
      </c>
      <c r="K2086" s="11">
        <v>-360</v>
      </c>
      <c r="L2086" s="11">
        <f t="shared" si="75"/>
        <v>-2360</v>
      </c>
      <c r="M2086" s="11">
        <f t="shared" si="76"/>
        <v>-753</v>
      </c>
    </row>
    <row r="2087" spans="1:19">
      <c r="A2087" s="7">
        <v>45916</v>
      </c>
      <c r="B2087" s="8">
        <f t="shared" si="79"/>
        <v>80.720385674929958</v>
      </c>
      <c r="C2087" s="9">
        <f t="shared" si="78"/>
        <v>0.19601106655518419</v>
      </c>
      <c r="D2087" s="10">
        <f t="shared" ref="D2087:D2150" si="80">D2086-(4/90)</f>
        <v>15.822088888888832</v>
      </c>
      <c r="E2087" s="13">
        <v>79.8</v>
      </c>
      <c r="F2087" s="10">
        <f>AVERAGE($E$1829:E2087)</f>
        <v>86.294015444015415</v>
      </c>
      <c r="G2087" s="44">
        <v>0.19800000000000001</v>
      </c>
      <c r="H2087" s="10">
        <f t="shared" si="77"/>
        <v>15.8004</v>
      </c>
      <c r="I2087" s="11">
        <v>2192</v>
      </c>
      <c r="J2087" s="11">
        <v>-2000</v>
      </c>
      <c r="K2087" s="11">
        <v>-471</v>
      </c>
      <c r="L2087" s="11">
        <f t="shared" si="75"/>
        <v>-2471</v>
      </c>
      <c r="M2087" s="11">
        <f t="shared" si="76"/>
        <v>-279</v>
      </c>
    </row>
    <row r="2088" spans="1:19">
      <c r="A2088" s="7">
        <v>45917</v>
      </c>
      <c r="B2088" s="8">
        <f t="shared" si="79"/>
        <v>80.637741046830783</v>
      </c>
      <c r="C2088" s="9">
        <f t="shared" si="78"/>
        <v>0.19566079406020859</v>
      </c>
      <c r="D2088" s="10">
        <f t="shared" si="80"/>
        <v>15.777644444444388</v>
      </c>
      <c r="E2088" s="13">
        <v>79.2</v>
      </c>
      <c r="F2088" s="10">
        <f>AVERAGE($E$1829:E2088)</f>
        <v>86.266730769230747</v>
      </c>
      <c r="G2088" s="44">
        <v>0.2</v>
      </c>
      <c r="H2088" s="10">
        <f t="shared" si="77"/>
        <v>15.840000000000002</v>
      </c>
      <c r="I2088" s="11">
        <v>1655</v>
      </c>
      <c r="J2088" s="11">
        <v>-2000</v>
      </c>
      <c r="K2088" s="11">
        <v>-877</v>
      </c>
      <c r="L2088" s="11">
        <f t="shared" si="75"/>
        <v>-2877</v>
      </c>
      <c r="M2088" s="11">
        <f t="shared" si="76"/>
        <v>-1222</v>
      </c>
    </row>
    <row r="2089" spans="1:19">
      <c r="A2089" s="7">
        <v>45918</v>
      </c>
      <c r="B2089" s="8">
        <f t="shared" si="79"/>
        <v>80.555096418731608</v>
      </c>
      <c r="C2089" s="9">
        <f t="shared" si="78"/>
        <v>0.1953098028486932</v>
      </c>
      <c r="D2089" s="10">
        <f t="shared" si="80"/>
        <v>15.733199999999943</v>
      </c>
      <c r="E2089" s="13">
        <v>79.5</v>
      </c>
      <c r="F2089" s="10">
        <f>AVERAGE($E$1829:E2089)</f>
        <v>86.240804597701128</v>
      </c>
      <c r="G2089" s="44">
        <v>0.20100000000000001</v>
      </c>
      <c r="H2089" s="10">
        <f t="shared" si="77"/>
        <v>15.979500000000002</v>
      </c>
      <c r="I2089" s="11">
        <v>1767</v>
      </c>
      <c r="J2089" s="11">
        <v>-2000</v>
      </c>
      <c r="K2089" s="11">
        <v>-679</v>
      </c>
      <c r="L2089" s="11">
        <f t="shared" si="75"/>
        <v>-2679</v>
      </c>
      <c r="M2089" s="11">
        <f t="shared" si="76"/>
        <v>-912</v>
      </c>
    </row>
    <row r="2090" spans="1:19">
      <c r="A2090" s="7">
        <v>45919</v>
      </c>
      <c r="B2090" s="8">
        <f t="shared" si="79"/>
        <v>80.472451790632434</v>
      </c>
      <c r="C2090" s="9">
        <f t="shared" si="78"/>
        <v>0.19495809070628792</v>
      </c>
      <c r="D2090" s="10">
        <f t="shared" si="80"/>
        <v>15.688755555555499</v>
      </c>
      <c r="E2090" s="13">
        <v>79.7</v>
      </c>
      <c r="F2090" s="10">
        <f>AVERAGE($E$1829:E2090)</f>
        <v>86.215839694656466</v>
      </c>
      <c r="G2090" s="44">
        <v>0.19700000000000001</v>
      </c>
      <c r="H2090" s="10">
        <f t="shared" si="77"/>
        <v>15.700900000000001</v>
      </c>
      <c r="I2090" s="11">
        <v>1882</v>
      </c>
      <c r="J2090" s="11">
        <v>-2000</v>
      </c>
      <c r="K2090" s="11">
        <v>-427</v>
      </c>
      <c r="L2090" s="11">
        <f t="shared" si="75"/>
        <v>-2427</v>
      </c>
      <c r="M2090" s="11">
        <f t="shared" si="76"/>
        <v>-545</v>
      </c>
    </row>
    <row r="2091" spans="1:19">
      <c r="A2091" s="7">
        <v>45920</v>
      </c>
      <c r="B2091" s="8">
        <f t="shared" si="79"/>
        <v>80.389807162533259</v>
      </c>
      <c r="C2091" s="9">
        <f t="shared" si="78"/>
        <v>0.19460565540953673</v>
      </c>
      <c r="D2091" s="10">
        <f t="shared" si="80"/>
        <v>15.644311111111055</v>
      </c>
      <c r="E2091" s="13">
        <v>81</v>
      </c>
      <c r="F2091" s="10">
        <f>AVERAGE($E$1829:E2091)</f>
        <v>86.196007604562723</v>
      </c>
      <c r="G2091" s="44">
        <v>0.19</v>
      </c>
      <c r="H2091" s="10">
        <f t="shared" si="77"/>
        <v>15.39</v>
      </c>
      <c r="I2091" s="11">
        <v>1715</v>
      </c>
      <c r="J2091" s="11">
        <v>-2000</v>
      </c>
      <c r="K2091" s="11">
        <v>-556</v>
      </c>
      <c r="L2091" s="11">
        <f t="shared" si="75"/>
        <v>-2556</v>
      </c>
      <c r="M2091" s="11">
        <f t="shared" si="76"/>
        <v>-841</v>
      </c>
    </row>
    <row r="2092" spans="1:19">
      <c r="A2092" s="7">
        <v>45921</v>
      </c>
      <c r="B2092" s="8">
        <f t="shared" si="79"/>
        <v>80.307162534434084</v>
      </c>
      <c r="C2092" s="9">
        <f t="shared" si="78"/>
        <v>0.194252494725831</v>
      </c>
      <c r="D2092" s="10">
        <f t="shared" si="80"/>
        <v>15.59986666666661</v>
      </c>
      <c r="E2092" s="13">
        <v>80.599999999999994</v>
      </c>
      <c r="F2092" s="10">
        <f>AVERAGE($E$1829:E2092)</f>
        <v>86.174810606060589</v>
      </c>
      <c r="G2092" s="44">
        <v>0.189</v>
      </c>
      <c r="H2092" s="10">
        <f t="shared" si="77"/>
        <v>15.2334</v>
      </c>
      <c r="I2092" s="11">
        <v>1963</v>
      </c>
      <c r="J2092" s="11">
        <v>-2000</v>
      </c>
      <c r="K2092" s="11">
        <v>-680</v>
      </c>
      <c r="L2092" s="11">
        <f t="shared" si="75"/>
        <v>-2680</v>
      </c>
      <c r="M2092" s="11">
        <f t="shared" si="76"/>
        <v>-717</v>
      </c>
    </row>
    <row r="2093" spans="1:19">
      <c r="A2093" s="7">
        <v>45922</v>
      </c>
      <c r="B2093" s="8">
        <f t="shared" si="79"/>
        <v>80.22451790633491</v>
      </c>
      <c r="C2093" s="9">
        <f t="shared" si="78"/>
        <v>0.19389860641336226</v>
      </c>
      <c r="D2093" s="10">
        <f t="shared" si="80"/>
        <v>15.555422222222166</v>
      </c>
      <c r="E2093" s="13">
        <v>79.7</v>
      </c>
      <c r="F2093" s="10">
        <f>AVERAGE($E$1829:E2093)</f>
        <v>86.150377358490545</v>
      </c>
      <c r="G2093" s="44">
        <v>0.19400000000000001</v>
      </c>
      <c r="H2093" s="10">
        <f t="shared" si="77"/>
        <v>15.4618</v>
      </c>
      <c r="I2093" s="11">
        <v>2313</v>
      </c>
      <c r="J2093" s="11">
        <v>-2000</v>
      </c>
      <c r="K2093" s="11">
        <v>-434</v>
      </c>
      <c r="L2093" s="11">
        <f t="shared" si="75"/>
        <v>-2434</v>
      </c>
      <c r="M2093" s="11">
        <f t="shared" si="76"/>
        <v>-121</v>
      </c>
    </row>
    <row r="2094" spans="1:19">
      <c r="A2094" s="7">
        <v>45923</v>
      </c>
      <c r="B2094" s="8">
        <f t="shared" si="79"/>
        <v>80.141873278235735</v>
      </c>
      <c r="C2094" s="9">
        <f t="shared" si="78"/>
        <v>0.19354398822107474</v>
      </c>
      <c r="D2094" s="10">
        <f t="shared" si="80"/>
        <v>15.510977777777722</v>
      </c>
      <c r="E2094" s="13">
        <v>80</v>
      </c>
      <c r="F2094" s="10">
        <f>AVERAGE($E$1829:E2094)</f>
        <v>86.127255639097726</v>
      </c>
      <c r="G2094" s="44">
        <v>0.19500000000000001</v>
      </c>
      <c r="H2094" s="10">
        <f t="shared" si="77"/>
        <v>15.600000000000001</v>
      </c>
      <c r="I2094" s="11">
        <v>1028</v>
      </c>
      <c r="J2094" s="11">
        <v>-2000</v>
      </c>
      <c r="K2094" s="11">
        <v>-578</v>
      </c>
      <c r="L2094" s="11">
        <f t="shared" si="75"/>
        <v>-2578</v>
      </c>
      <c r="M2094" s="11">
        <f t="shared" si="76"/>
        <v>-1550</v>
      </c>
    </row>
    <row r="2095" spans="1:19">
      <c r="A2095" s="7">
        <v>45924</v>
      </c>
      <c r="B2095" s="8">
        <f t="shared" si="79"/>
        <v>80.059228650136561</v>
      </c>
      <c r="C2095" s="9">
        <f t="shared" si="78"/>
        <v>0.19318863788861768</v>
      </c>
      <c r="D2095" s="10">
        <f t="shared" si="80"/>
        <v>15.466533333333278</v>
      </c>
      <c r="E2095" s="13">
        <v>78.900000000000006</v>
      </c>
      <c r="F2095" s="10">
        <f>AVERAGE($E$1829:E2095)</f>
        <v>86.100187265917583</v>
      </c>
      <c r="G2095" s="44">
        <v>0.19800000000000001</v>
      </c>
      <c r="H2095" s="10">
        <f t="shared" si="77"/>
        <v>15.622200000000001</v>
      </c>
      <c r="I2095" s="11">
        <v>1674</v>
      </c>
      <c r="J2095" s="11">
        <v>-2000</v>
      </c>
      <c r="K2095" s="11">
        <v>-831</v>
      </c>
      <c r="L2095" s="11">
        <f t="shared" si="75"/>
        <v>-2831</v>
      </c>
      <c r="M2095" s="11">
        <f t="shared" si="76"/>
        <v>-1157</v>
      </c>
    </row>
    <row r="2096" spans="1:19">
      <c r="A2096" s="7">
        <v>45925</v>
      </c>
      <c r="B2096" s="8">
        <f t="shared" si="79"/>
        <v>79.976584022037386</v>
      </c>
      <c r="C2096" s="9">
        <f t="shared" si="78"/>
        <v>0.19283255314629727</v>
      </c>
      <c r="D2096" s="10">
        <f t="shared" si="80"/>
        <v>15.422088888888833</v>
      </c>
      <c r="E2096" s="13">
        <v>79.2</v>
      </c>
      <c r="F2096" s="10">
        <f>AVERAGE($E$1829:E2096)</f>
        <v>86.074440298507454</v>
      </c>
      <c r="G2096" s="44">
        <v>0.191</v>
      </c>
      <c r="H2096" s="10">
        <f t="shared" si="77"/>
        <v>15.1272</v>
      </c>
      <c r="I2096" s="11">
        <v>2443</v>
      </c>
      <c r="J2096" s="11">
        <v>-2000</v>
      </c>
      <c r="K2096" s="11">
        <v>-875</v>
      </c>
      <c r="L2096" s="11">
        <f t="shared" si="75"/>
        <v>-2875</v>
      </c>
      <c r="M2096" s="11">
        <f t="shared" si="76"/>
        <v>-432</v>
      </c>
    </row>
    <row r="2097" spans="1:13">
      <c r="A2097" s="7">
        <v>45926</v>
      </c>
      <c r="B2097" s="8">
        <f t="shared" si="79"/>
        <v>79.893939393938211</v>
      </c>
      <c r="C2097" s="9">
        <f t="shared" si="78"/>
        <v>0.19247573171502838</v>
      </c>
      <c r="D2097" s="10">
        <f t="shared" si="80"/>
        <v>15.377644444444389</v>
      </c>
      <c r="E2097" s="13">
        <v>79.2</v>
      </c>
      <c r="F2097" s="10">
        <f>AVERAGE($E$1829:E2097)</f>
        <v>86.048884758364309</v>
      </c>
      <c r="G2097" s="44">
        <v>0.192</v>
      </c>
      <c r="H2097" s="10">
        <f t="shared" si="77"/>
        <v>15.2064</v>
      </c>
      <c r="I2097" s="11">
        <v>1988</v>
      </c>
      <c r="J2097" s="11">
        <v>-2000</v>
      </c>
      <c r="K2097" s="11">
        <v>-1333</v>
      </c>
      <c r="L2097" s="11">
        <f t="shared" si="75"/>
        <v>-3333</v>
      </c>
      <c r="M2097" s="11">
        <f t="shared" si="76"/>
        <v>-1345</v>
      </c>
    </row>
    <row r="2098" spans="1:13">
      <c r="A2098" s="7">
        <v>45927</v>
      </c>
      <c r="B2098" s="8">
        <f t="shared" si="79"/>
        <v>79.811294765839037</v>
      </c>
      <c r="C2098" s="9">
        <f t="shared" si="78"/>
        <v>0.19211817130628592</v>
      </c>
      <c r="D2098" s="10">
        <f t="shared" si="80"/>
        <v>15.333199999999945</v>
      </c>
      <c r="E2098" s="13">
        <v>79.5</v>
      </c>
      <c r="F2098" s="10">
        <f>AVERAGE($E$1829:E2098)</f>
        <v>86.024629629629615</v>
      </c>
      <c r="G2098" s="44">
        <v>0.191</v>
      </c>
      <c r="H2098" s="10">
        <f t="shared" si="77"/>
        <v>15.1845</v>
      </c>
      <c r="I2098" s="11">
        <v>2118</v>
      </c>
      <c r="J2098" s="11">
        <v>-2000</v>
      </c>
      <c r="K2098" s="11">
        <v>-282</v>
      </c>
      <c r="L2098" s="11">
        <f t="shared" si="75"/>
        <v>-2282</v>
      </c>
      <c r="M2098" s="11">
        <f t="shared" si="76"/>
        <v>-164</v>
      </c>
    </row>
    <row r="2099" spans="1:13">
      <c r="A2099" s="7">
        <v>45928</v>
      </c>
      <c r="B2099" s="8">
        <f t="shared" si="79"/>
        <v>79.728650137739862</v>
      </c>
      <c r="C2099" s="9">
        <f t="shared" si="78"/>
        <v>0.19175986962205585</v>
      </c>
      <c r="D2099" s="10">
        <f t="shared" si="80"/>
        <v>15.2887555555555</v>
      </c>
      <c r="E2099" s="13">
        <v>80.5</v>
      </c>
      <c r="F2099" s="10">
        <f>AVERAGE($E$1829:E2099)</f>
        <v>86.004243542435418</v>
      </c>
      <c r="G2099" s="44">
        <v>0.186</v>
      </c>
      <c r="H2099" s="10">
        <f t="shared" si="77"/>
        <v>14.973000000000001</v>
      </c>
      <c r="I2099" s="11">
        <v>2066</v>
      </c>
      <c r="J2099" s="11">
        <v>-2000</v>
      </c>
      <c r="K2099" s="11">
        <v>-629</v>
      </c>
      <c r="L2099" s="11">
        <f t="shared" si="75"/>
        <v>-2629</v>
      </c>
      <c r="M2099" s="11">
        <f t="shared" si="76"/>
        <v>-563</v>
      </c>
    </row>
    <row r="2100" spans="1:13">
      <c r="A2100" s="7">
        <v>45929</v>
      </c>
      <c r="B2100" s="8">
        <f t="shared" si="79"/>
        <v>79.646005509640688</v>
      </c>
      <c r="C2100" s="9">
        <f t="shared" si="78"/>
        <v>0.191400824354786</v>
      </c>
      <c r="D2100" s="10">
        <f t="shared" si="80"/>
        <v>15.244311111111056</v>
      </c>
      <c r="E2100" s="13">
        <v>79.400000000000006</v>
      </c>
      <c r="F2100" s="10">
        <f>AVERAGE($E$1829:E2100)</f>
        <v>85.979963235294122</v>
      </c>
      <c r="G2100" s="44">
        <v>0.19500000000000001</v>
      </c>
      <c r="H2100" s="10">
        <f t="shared" si="77"/>
        <v>15.483000000000002</v>
      </c>
      <c r="I2100" s="11">
        <v>2337</v>
      </c>
      <c r="J2100" s="11">
        <v>-2000</v>
      </c>
      <c r="K2100" s="11">
        <v>-445</v>
      </c>
      <c r="L2100" s="11">
        <f t="shared" si="75"/>
        <v>-2445</v>
      </c>
      <c r="M2100" s="11">
        <f t="shared" si="76"/>
        <v>-108</v>
      </c>
    </row>
    <row r="2101" spans="1:13">
      <c r="A2101" s="7">
        <v>45930</v>
      </c>
      <c r="B2101" s="8">
        <f t="shared" si="79"/>
        <v>79.563360881541513</v>
      </c>
      <c r="C2101" s="9">
        <f t="shared" si="78"/>
        <v>0.19104103318733662</v>
      </c>
      <c r="D2101" s="10">
        <f t="shared" si="80"/>
        <v>15.199866666666612</v>
      </c>
      <c r="E2101" s="13">
        <v>80.3</v>
      </c>
      <c r="F2101" s="10">
        <f>AVERAGE($E$1829:E2101)</f>
        <v>85.959157509157507</v>
      </c>
      <c r="G2101" s="44">
        <v>0.193</v>
      </c>
      <c r="H2101" s="10">
        <f t="shared" si="77"/>
        <v>15.4979</v>
      </c>
      <c r="I2101" s="11">
        <v>1973</v>
      </c>
      <c r="J2101" s="11">
        <v>-2000</v>
      </c>
      <c r="K2101" s="11">
        <v>-627</v>
      </c>
      <c r="L2101" s="11">
        <f t="shared" si="75"/>
        <v>-2627</v>
      </c>
      <c r="M2101" s="11">
        <f t="shared" si="76"/>
        <v>-654</v>
      </c>
    </row>
    <row r="2102" spans="1:13">
      <c r="A2102" s="7">
        <v>45931</v>
      </c>
      <c r="B2102" s="8">
        <f>B2101-(2.5/30.25)-0.5</f>
        <v>78.980716253442338</v>
      </c>
      <c r="C2102" s="9">
        <f t="shared" si="78"/>
        <v>0.18935536332984754</v>
      </c>
      <c r="D2102" s="10">
        <f>D2101-(4/90)-0.2</f>
        <v>14.955422222222168</v>
      </c>
      <c r="E2102" s="13">
        <v>80.2</v>
      </c>
      <c r="F2102" s="10">
        <f>AVERAGE($E$1829:E2102)</f>
        <v>85.938138686131381</v>
      </c>
      <c r="G2102" s="44">
        <v>0.19</v>
      </c>
      <c r="H2102" s="10">
        <f t="shared" si="77"/>
        <v>15.238000000000001</v>
      </c>
      <c r="I2102" s="11">
        <v>2053</v>
      </c>
      <c r="J2102" s="11">
        <v>-2000</v>
      </c>
      <c r="K2102" s="11">
        <v>-796</v>
      </c>
      <c r="L2102" s="11">
        <f t="shared" si="75"/>
        <v>-2796</v>
      </c>
      <c r="M2102" s="11">
        <f t="shared" si="76"/>
        <v>-743</v>
      </c>
    </row>
    <row r="2103" spans="1:13">
      <c r="A2103" s="7">
        <v>45932</v>
      </c>
      <c r="B2103" s="8">
        <f t="shared" si="79"/>
        <v>78.898071625343164</v>
      </c>
      <c r="C2103" s="9">
        <f t="shared" si="78"/>
        <v>0.18899039571694817</v>
      </c>
      <c r="D2103" s="10">
        <f t="shared" si="80"/>
        <v>14.910977777777724</v>
      </c>
      <c r="E2103" s="13">
        <v>79.8</v>
      </c>
      <c r="F2103" s="10">
        <f>AVERAGE($E$1829:E2103)</f>
        <v>85.915818181818182</v>
      </c>
      <c r="G2103" s="44">
        <v>0.19400000000000001</v>
      </c>
      <c r="H2103" s="10">
        <f t="shared" si="77"/>
        <v>15.481199999999999</v>
      </c>
      <c r="I2103" s="11">
        <v>2053</v>
      </c>
      <c r="J2103" s="11">
        <v>-2000</v>
      </c>
      <c r="K2103" s="11">
        <v>-796</v>
      </c>
      <c r="L2103" s="11">
        <f t="shared" si="75"/>
        <v>-2796</v>
      </c>
      <c r="M2103" s="11">
        <f t="shared" si="76"/>
        <v>-743</v>
      </c>
    </row>
    <row r="2104" spans="1:13">
      <c r="A2104" s="7">
        <v>45933</v>
      </c>
      <c r="B2104" s="8">
        <f t="shared" si="79"/>
        <v>78.815426997243989</v>
      </c>
      <c r="C2104" s="9">
        <f t="shared" si="78"/>
        <v>0.18862466270534994</v>
      </c>
      <c r="D2104" s="10">
        <f t="shared" si="80"/>
        <v>14.86653333333328</v>
      </c>
      <c r="E2104" s="13">
        <v>79.8</v>
      </c>
      <c r="F2104" s="10">
        <f>AVERAGE($E$1829:E2104)</f>
        <v>85.89365942028985</v>
      </c>
      <c r="G2104" s="44">
        <v>0.19400000000000001</v>
      </c>
      <c r="H2104" s="10">
        <f t="shared" si="77"/>
        <v>15.481199999999999</v>
      </c>
      <c r="I2104" s="11">
        <v>1950</v>
      </c>
      <c r="J2104" s="11">
        <v>-2000</v>
      </c>
      <c r="K2104" s="11">
        <v>-859</v>
      </c>
      <c r="L2104" s="11">
        <f t="shared" si="75"/>
        <v>-2859</v>
      </c>
      <c r="M2104" s="11">
        <f t="shared" si="76"/>
        <v>-909</v>
      </c>
    </row>
    <row r="2105" spans="1:13">
      <c r="A2105" s="7">
        <v>45934</v>
      </c>
      <c r="B2105" s="8">
        <f t="shared" si="79"/>
        <v>78.732782369144815</v>
      </c>
      <c r="C2105" s="9">
        <f t="shared" si="78"/>
        <v>0.18825816188477007</v>
      </c>
      <c r="D2105" s="10">
        <f t="shared" si="80"/>
        <v>14.822088888888835</v>
      </c>
      <c r="E2105" s="13">
        <v>78.8</v>
      </c>
      <c r="F2105" s="10">
        <f>AVERAGE($E$1829:E2105)</f>
        <v>85.86805054151624</v>
      </c>
      <c r="G2105" s="44">
        <v>0.19900000000000001</v>
      </c>
      <c r="H2105" s="10">
        <f t="shared" si="77"/>
        <v>15.6812</v>
      </c>
      <c r="I2105" s="11">
        <v>2463</v>
      </c>
      <c r="J2105" s="11">
        <v>-2000</v>
      </c>
      <c r="K2105" s="11">
        <v>-448</v>
      </c>
      <c r="L2105" s="11">
        <f t="shared" ref="L2105:L2168" si="81">SUM(J2105:K2105)</f>
        <v>-2448</v>
      </c>
      <c r="M2105" s="11">
        <f t="shared" ref="M2105:M2118" si="82">I2105+J2105+K2105</f>
        <v>15</v>
      </c>
    </row>
    <row r="2106" spans="1:13">
      <c r="A2106" s="7">
        <v>45935</v>
      </c>
      <c r="B2106" s="8">
        <f t="shared" si="79"/>
        <v>78.65013774104564</v>
      </c>
      <c r="C2106" s="9">
        <f t="shared" si="78"/>
        <v>0.18789089083479493</v>
      </c>
      <c r="D2106" s="10">
        <f t="shared" si="80"/>
        <v>14.777644444444391</v>
      </c>
      <c r="E2106" s="13">
        <v>80.2</v>
      </c>
      <c r="F2106" s="10">
        <f>AVERAGE($E$1829:E2106)</f>
        <v>85.847661870503586</v>
      </c>
      <c r="G2106" s="44">
        <v>0.193</v>
      </c>
      <c r="H2106" s="10">
        <f t="shared" si="77"/>
        <v>15.4786</v>
      </c>
      <c r="I2106" s="11">
        <v>2404</v>
      </c>
      <c r="J2106" s="11">
        <v>-2000</v>
      </c>
      <c r="K2106" s="11">
        <v>-831</v>
      </c>
      <c r="L2106" s="11">
        <f t="shared" si="81"/>
        <v>-2831</v>
      </c>
      <c r="M2106" s="11">
        <f t="shared" si="82"/>
        <v>-427</v>
      </c>
    </row>
    <row r="2107" spans="1:13">
      <c r="A2107" s="7">
        <v>45936</v>
      </c>
      <c r="B2107" s="8">
        <f t="shared" si="79"/>
        <v>78.567493112946465</v>
      </c>
      <c r="C2107" s="9">
        <f t="shared" si="78"/>
        <v>0.18752284712482686</v>
      </c>
      <c r="D2107" s="10">
        <f t="shared" si="80"/>
        <v>14.733199999999947</v>
      </c>
      <c r="E2107" s="13">
        <v>80.900000000000006</v>
      </c>
      <c r="F2107" s="10">
        <f>AVERAGE($E$1829:E2107)</f>
        <v>85.829928315412189</v>
      </c>
      <c r="G2107" s="44">
        <v>0.187</v>
      </c>
      <c r="H2107" s="10">
        <f t="shared" si="77"/>
        <v>15.128300000000001</v>
      </c>
      <c r="I2107" s="11">
        <v>2003</v>
      </c>
      <c r="J2107" s="11">
        <v>-2000</v>
      </c>
      <c r="K2107" s="11">
        <v>-466</v>
      </c>
      <c r="L2107" s="11">
        <f t="shared" si="81"/>
        <v>-2466</v>
      </c>
      <c r="M2107" s="11">
        <f t="shared" si="82"/>
        <v>-463</v>
      </c>
    </row>
    <row r="2108" spans="1:13">
      <c r="A2108" s="7">
        <v>45937</v>
      </c>
      <c r="B2108" s="8">
        <f t="shared" si="79"/>
        <v>78.484848484847291</v>
      </c>
      <c r="C2108" s="9">
        <f t="shared" si="78"/>
        <v>0.1871540283140305</v>
      </c>
      <c r="D2108" s="10">
        <f t="shared" si="80"/>
        <v>14.688755555555502</v>
      </c>
      <c r="E2108" s="13">
        <v>80.5</v>
      </c>
      <c r="F2108" s="10">
        <f>AVERAGE($E$1829:E2108)</f>
        <v>85.810892857142861</v>
      </c>
      <c r="G2108" s="44">
        <v>0.189</v>
      </c>
      <c r="H2108" s="10">
        <f t="shared" si="77"/>
        <v>15.214499999999999</v>
      </c>
      <c r="I2108" s="11">
        <v>1332</v>
      </c>
      <c r="J2108" s="11">
        <v>-2000</v>
      </c>
      <c r="K2108" s="11">
        <v>-390</v>
      </c>
      <c r="L2108" s="11">
        <f t="shared" si="81"/>
        <v>-2390</v>
      </c>
      <c r="M2108" s="11">
        <f t="shared" si="82"/>
        <v>-1058</v>
      </c>
    </row>
    <row r="2109" spans="1:13">
      <c r="A2109" s="7">
        <v>45938</v>
      </c>
      <c r="B2109" s="8">
        <f t="shared" si="79"/>
        <v>78.402203856748116</v>
      </c>
      <c r="C2109" s="9">
        <f t="shared" si="78"/>
        <v>0.18678443195127881</v>
      </c>
      <c r="D2109" s="10">
        <f t="shared" si="80"/>
        <v>14.644311111111058</v>
      </c>
      <c r="E2109" s="13">
        <v>79.400000000000006</v>
      </c>
      <c r="F2109" s="10">
        <f>AVERAGE($E$1829:E2109)</f>
        <v>85.788078291814955</v>
      </c>
      <c r="G2109" s="44">
        <v>0.191</v>
      </c>
      <c r="H2109" s="10">
        <f t="shared" si="77"/>
        <v>15.165400000000002</v>
      </c>
      <c r="I2109" s="11">
        <v>1962</v>
      </c>
      <c r="J2109" s="11">
        <v>-2000</v>
      </c>
      <c r="K2109" s="11">
        <v>-1488</v>
      </c>
      <c r="L2109" s="11">
        <f t="shared" si="81"/>
        <v>-3488</v>
      </c>
      <c r="M2109" s="11">
        <f t="shared" si="82"/>
        <v>-1526</v>
      </c>
    </row>
    <row r="2110" spans="1:13">
      <c r="A2110" s="7">
        <v>45939</v>
      </c>
      <c r="B2110" s="8">
        <f t="shared" si="79"/>
        <v>78.319559228648941</v>
      </c>
      <c r="C2110" s="9">
        <f t="shared" si="78"/>
        <v>0.18641405557509891</v>
      </c>
      <c r="D2110" s="10">
        <f t="shared" si="80"/>
        <v>14.599866666666614</v>
      </c>
      <c r="E2110" s="13">
        <v>79.3</v>
      </c>
      <c r="F2110" s="10">
        <f>AVERAGE($E$1829:E2110)</f>
        <v>85.76507092198581</v>
      </c>
      <c r="G2110" s="44">
        <v>0.192</v>
      </c>
      <c r="H2110" s="10">
        <f t="shared" ref="H2110:H2173" si="83">IF(E2110="","",G2110*E2110)</f>
        <v>15.2256</v>
      </c>
      <c r="I2110" s="11">
        <v>2419</v>
      </c>
      <c r="J2110" s="11">
        <v>-2000</v>
      </c>
      <c r="K2110" s="11">
        <v>-656</v>
      </c>
      <c r="L2110" s="11">
        <f t="shared" si="81"/>
        <v>-2656</v>
      </c>
      <c r="M2110" s="11">
        <f t="shared" si="82"/>
        <v>-237</v>
      </c>
    </row>
    <row r="2111" spans="1:13">
      <c r="A2111" s="7">
        <v>45940</v>
      </c>
      <c r="B2111" s="8">
        <f t="shared" si="79"/>
        <v>78.236914600549767</v>
      </c>
      <c r="C2111" s="9">
        <f t="shared" si="78"/>
        <v>0.18604289671361721</v>
      </c>
      <c r="D2111" s="10">
        <f t="shared" si="80"/>
        <v>14.55542222222217</v>
      </c>
      <c r="E2111" s="13">
        <v>78.7</v>
      </c>
      <c r="F2111" s="10">
        <f>AVERAGE($E$1829:E2111)</f>
        <v>85.740106007067141</v>
      </c>
      <c r="G2111" s="44">
        <v>0.19700000000000001</v>
      </c>
      <c r="H2111" s="10">
        <f t="shared" si="83"/>
        <v>15.503900000000002</v>
      </c>
      <c r="I2111" s="11">
        <v>2083</v>
      </c>
      <c r="J2111" s="11">
        <v>-2000</v>
      </c>
      <c r="K2111" s="11">
        <v>-544</v>
      </c>
      <c r="L2111" s="11">
        <f t="shared" si="81"/>
        <v>-2544</v>
      </c>
      <c r="M2111" s="11">
        <f t="shared" si="82"/>
        <v>-461</v>
      </c>
    </row>
    <row r="2112" spans="1:13">
      <c r="A2112" s="7">
        <v>45941</v>
      </c>
      <c r="B2112" s="8">
        <f t="shared" si="79"/>
        <v>78.154269972450592</v>
      </c>
      <c r="C2112" s="9">
        <f t="shared" si="78"/>
        <v>0.18567095288450458</v>
      </c>
      <c r="D2112" s="10">
        <f t="shared" si="80"/>
        <v>14.510977777777725</v>
      </c>
      <c r="E2112" s="13">
        <v>79.5</v>
      </c>
      <c r="F2112" s="10">
        <f>AVERAGE($E$1829:E2112)</f>
        <v>85.718133802816908</v>
      </c>
      <c r="G2112" s="44">
        <v>0.19</v>
      </c>
      <c r="H2112" s="10">
        <f t="shared" si="83"/>
        <v>15.105</v>
      </c>
      <c r="I2112" s="11">
        <v>3000</v>
      </c>
      <c r="J2112" s="11">
        <v>-2000</v>
      </c>
      <c r="K2112" s="11">
        <v>-500</v>
      </c>
      <c r="L2112" s="11">
        <f t="shared" si="81"/>
        <v>-2500</v>
      </c>
      <c r="M2112" s="11">
        <f t="shared" si="82"/>
        <v>500</v>
      </c>
    </row>
    <row r="2113" spans="1:13">
      <c r="A2113" s="7">
        <v>45942</v>
      </c>
      <c r="B2113" s="8">
        <f t="shared" si="79"/>
        <v>78.071625344351418</v>
      </c>
      <c r="C2113" s="9">
        <f t="shared" si="78"/>
        <v>0.18529822159492101</v>
      </c>
      <c r="D2113" s="10">
        <f t="shared" si="80"/>
        <v>14.466533333333281</v>
      </c>
      <c r="E2113" s="13">
        <v>81</v>
      </c>
      <c r="F2113" s="10">
        <f>AVERAGE($E$1829:E2113)</f>
        <v>85.701578947368418</v>
      </c>
      <c r="G2113" s="44">
        <v>0.183</v>
      </c>
      <c r="H2113" s="10">
        <f t="shared" si="83"/>
        <v>14.823</v>
      </c>
      <c r="I2113" s="11">
        <v>3000</v>
      </c>
      <c r="J2113" s="11">
        <v>-2000</v>
      </c>
      <c r="K2113" s="11">
        <v>-500</v>
      </c>
      <c r="L2113" s="11">
        <f t="shared" si="81"/>
        <v>-2500</v>
      </c>
      <c r="M2113" s="11">
        <f t="shared" si="82"/>
        <v>500</v>
      </c>
    </row>
    <row r="2114" spans="1:13">
      <c r="A2114" s="7">
        <v>45943</v>
      </c>
      <c r="B2114" s="8">
        <f t="shared" si="79"/>
        <v>77.988980716252243</v>
      </c>
      <c r="C2114" s="9">
        <f t="shared" si="78"/>
        <v>0.18492470034145986</v>
      </c>
      <c r="D2114" s="10">
        <f t="shared" si="80"/>
        <v>14.422088888888837</v>
      </c>
      <c r="E2114" s="13">
        <v>81</v>
      </c>
      <c r="F2114" s="10">
        <f>AVERAGE($E$1829:E2114)</f>
        <v>85.685139860139856</v>
      </c>
      <c r="G2114" s="44">
        <v>0.183</v>
      </c>
      <c r="H2114" s="10">
        <f t="shared" si="83"/>
        <v>14.823</v>
      </c>
      <c r="I2114" s="11">
        <v>2200</v>
      </c>
      <c r="J2114" s="11">
        <v>-2000</v>
      </c>
      <c r="K2114" s="11">
        <v>-463</v>
      </c>
      <c r="L2114" s="11">
        <f t="shared" si="81"/>
        <v>-2463</v>
      </c>
      <c r="M2114" s="11">
        <f t="shared" si="82"/>
        <v>-263</v>
      </c>
    </row>
    <row r="2115" spans="1:13">
      <c r="A2115" s="7">
        <v>45944</v>
      </c>
      <c r="B2115" s="8">
        <f t="shared" si="79"/>
        <v>77.906336088153068</v>
      </c>
      <c r="C2115" s="9">
        <f t="shared" si="78"/>
        <v>0.18455038661009177</v>
      </c>
      <c r="D2115" s="10">
        <f t="shared" si="80"/>
        <v>14.377644444444392</v>
      </c>
      <c r="E2115" s="13">
        <v>80.2</v>
      </c>
      <c r="F2115" s="10">
        <f>AVERAGE($E$1829:E2115)</f>
        <v>85.666027874564463</v>
      </c>
      <c r="G2115" s="44">
        <v>0.184</v>
      </c>
      <c r="H2115" s="10">
        <f t="shared" si="83"/>
        <v>14.7568</v>
      </c>
      <c r="I2115" s="11">
        <v>2096</v>
      </c>
      <c r="J2115" s="11">
        <v>-2000</v>
      </c>
      <c r="K2115" s="11">
        <v>-622</v>
      </c>
      <c r="L2115" s="11">
        <f t="shared" si="81"/>
        <v>-2622</v>
      </c>
      <c r="M2115" s="11">
        <f>I2116+J2115+K2115</f>
        <v>-401</v>
      </c>
    </row>
    <row r="2116" spans="1:13">
      <c r="A2116" s="7">
        <v>45945</v>
      </c>
      <c r="B2116" s="8">
        <f t="shared" si="79"/>
        <v>77.823691460053894</v>
      </c>
      <c r="C2116" s="9">
        <f t="shared" si="78"/>
        <v>0.18417527787610838</v>
      </c>
      <c r="D2116" s="10">
        <f t="shared" si="80"/>
        <v>14.333199999999948</v>
      </c>
      <c r="E2116" s="13">
        <v>79.5</v>
      </c>
      <c r="F2116" s="10">
        <f>AVERAGE($E$1829:E2116)</f>
        <v>85.644618055555554</v>
      </c>
      <c r="G2116" s="44">
        <v>0.186</v>
      </c>
      <c r="H2116" s="10">
        <f t="shared" si="83"/>
        <v>14.786999999999999</v>
      </c>
      <c r="I2116" s="11">
        <v>2221</v>
      </c>
      <c r="J2116" s="11">
        <v>-2000</v>
      </c>
      <c r="K2116" s="11">
        <v>-537</v>
      </c>
      <c r="L2116" s="11">
        <f t="shared" si="81"/>
        <v>-2537</v>
      </c>
      <c r="M2116" s="11">
        <f t="shared" ref="M2116:M2179" si="84">I2116+J2116+K2116</f>
        <v>-316</v>
      </c>
    </row>
    <row r="2117" spans="1:13">
      <c r="A2117" s="7">
        <v>45946</v>
      </c>
      <c r="B2117" s="8">
        <f t="shared" si="79"/>
        <v>77.741046831954719</v>
      </c>
      <c r="C2117" s="9">
        <f t="shared" si="78"/>
        <v>0.18379937160406548</v>
      </c>
      <c r="D2117" s="10">
        <f t="shared" si="80"/>
        <v>14.288755555555504</v>
      </c>
      <c r="E2117" s="13">
        <v>79.5</v>
      </c>
      <c r="F2117" s="10">
        <f>AVERAGE($E$1829:E2117)</f>
        <v>85.623356401384086</v>
      </c>
      <c r="G2117" s="44">
        <v>0.19500000000000001</v>
      </c>
      <c r="H2117" s="10">
        <f t="shared" si="83"/>
        <v>15.502500000000001</v>
      </c>
      <c r="I2117" s="11">
        <v>1207</v>
      </c>
      <c r="J2117" s="11">
        <v>-2000</v>
      </c>
      <c r="K2117" s="11">
        <v>-718</v>
      </c>
      <c r="L2117" s="11">
        <f t="shared" si="81"/>
        <v>-2718</v>
      </c>
      <c r="M2117" s="11">
        <f t="shared" si="84"/>
        <v>-1511</v>
      </c>
    </row>
    <row r="2118" spans="1:13">
      <c r="A2118" s="7">
        <v>45947</v>
      </c>
      <c r="B2118" s="8">
        <f t="shared" si="79"/>
        <v>77.658402203855545</v>
      </c>
      <c r="C2118" s="9">
        <f t="shared" si="78"/>
        <v>0.18342266524772596</v>
      </c>
      <c r="D2118" s="10">
        <f t="shared" si="80"/>
        <v>14.24431111111106</v>
      </c>
      <c r="E2118" s="13">
        <v>79.2</v>
      </c>
      <c r="F2118" s="10">
        <f>AVERAGE($E$1829:E2118)</f>
        <v>85.60120689655173</v>
      </c>
      <c r="G2118" s="44">
        <v>0.189</v>
      </c>
      <c r="H2118" s="10">
        <f t="shared" si="83"/>
        <v>14.9688</v>
      </c>
      <c r="I2118" s="11">
        <v>2639</v>
      </c>
      <c r="J2118" s="11">
        <v>-2000</v>
      </c>
      <c r="K2118" s="11">
        <v>-829</v>
      </c>
      <c r="L2118" s="11">
        <f t="shared" si="81"/>
        <v>-2829</v>
      </c>
      <c r="M2118" s="11">
        <f t="shared" si="84"/>
        <v>-190</v>
      </c>
    </row>
    <row r="2119" spans="1:13">
      <c r="A2119" s="7">
        <v>45948</v>
      </c>
      <c r="B2119" s="8">
        <f t="shared" si="79"/>
        <v>77.57575757575637</v>
      </c>
      <c r="C2119" s="9">
        <f t="shared" si="78"/>
        <v>0.18304515625000217</v>
      </c>
      <c r="D2119" s="10">
        <f t="shared" si="80"/>
        <v>14.199866666666615</v>
      </c>
      <c r="E2119" s="13">
        <v>78.8</v>
      </c>
      <c r="F2119" s="10">
        <f>AVERAGE($E$1829:E2119)</f>
        <v>85.577835051546401</v>
      </c>
      <c r="G2119" s="44">
        <v>0.19900000000000001</v>
      </c>
      <c r="H2119" s="10">
        <f t="shared" si="83"/>
        <v>15.6812</v>
      </c>
      <c r="I2119" s="11">
        <v>1934</v>
      </c>
      <c r="J2119" s="11">
        <v>-2000</v>
      </c>
      <c r="K2119" s="11">
        <v>-540</v>
      </c>
      <c r="L2119" s="11">
        <f t="shared" si="81"/>
        <v>-2540</v>
      </c>
      <c r="M2119" s="11">
        <f t="shared" si="84"/>
        <v>-606</v>
      </c>
    </row>
    <row r="2120" spans="1:13">
      <c r="A2120" s="7">
        <v>45949</v>
      </c>
      <c r="B2120" s="8">
        <f t="shared" si="79"/>
        <v>77.493112947657195</v>
      </c>
      <c r="C2120" s="9">
        <f t="shared" si="78"/>
        <v>0.18266684204289826</v>
      </c>
      <c r="D2120" s="10">
        <f t="shared" si="80"/>
        <v>14.155422222222171</v>
      </c>
      <c r="E2120" s="13">
        <v>80.2</v>
      </c>
      <c r="F2120" s="10">
        <f>AVERAGE($E$1829:E2120)</f>
        <v>85.55941780821918</v>
      </c>
      <c r="G2120" s="44">
        <v>0.193</v>
      </c>
      <c r="H2120" s="10">
        <f t="shared" si="83"/>
        <v>15.4786</v>
      </c>
      <c r="I2120" s="11">
        <v>2113</v>
      </c>
      <c r="J2120" s="11">
        <v>-2000</v>
      </c>
      <c r="K2120" s="11">
        <v>-1785</v>
      </c>
      <c r="L2120" s="11">
        <f t="shared" si="81"/>
        <v>-3785</v>
      </c>
      <c r="M2120" s="11">
        <f t="shared" si="84"/>
        <v>-1672</v>
      </c>
    </row>
    <row r="2121" spans="1:13">
      <c r="A2121" s="7">
        <v>45950</v>
      </c>
      <c r="B2121" s="8">
        <f t="shared" si="79"/>
        <v>77.410468319558021</v>
      </c>
      <c r="C2121" s="9">
        <f t="shared" si="78"/>
        <v>0.18228772004745178</v>
      </c>
      <c r="D2121" s="10">
        <f t="shared" si="80"/>
        <v>14.110977777777727</v>
      </c>
      <c r="E2121" s="13">
        <v>80.099999999999994</v>
      </c>
      <c r="F2121" s="10">
        <f>AVERAGE($E$1829:E2121)</f>
        <v>85.540784982935151</v>
      </c>
      <c r="G2121" s="44">
        <v>0.184</v>
      </c>
      <c r="H2121" s="10">
        <f t="shared" si="83"/>
        <v>14.738399999999999</v>
      </c>
      <c r="I2121" s="11">
        <v>2057</v>
      </c>
      <c r="J2121" s="11">
        <v>-2000</v>
      </c>
      <c r="K2121" s="11">
        <v>-547</v>
      </c>
      <c r="L2121" s="11">
        <f t="shared" si="81"/>
        <v>-2547</v>
      </c>
      <c r="M2121" s="11">
        <f t="shared" si="84"/>
        <v>-490</v>
      </c>
    </row>
    <row r="2122" spans="1:13">
      <c r="A2122" s="7">
        <v>45951</v>
      </c>
      <c r="B2122" s="8">
        <f t="shared" si="79"/>
        <v>77.327823691458846</v>
      </c>
      <c r="C2122" s="9">
        <f t="shared" si="78"/>
        <v>0.18190778767367516</v>
      </c>
      <c r="D2122" s="10">
        <f t="shared" si="80"/>
        <v>14.066533333333282</v>
      </c>
      <c r="E2122" s="13">
        <v>79.3</v>
      </c>
      <c r="F2122" s="10">
        <f>AVERAGE($E$1829:E2122)</f>
        <v>85.519557823129247</v>
      </c>
      <c r="G2122" s="44">
        <v>0.185</v>
      </c>
      <c r="H2122" s="10">
        <f t="shared" si="83"/>
        <v>14.670499999999999</v>
      </c>
      <c r="I2122" s="11">
        <v>2250</v>
      </c>
      <c r="J2122" s="11">
        <v>-2000</v>
      </c>
      <c r="K2122" s="11">
        <v>-713</v>
      </c>
      <c r="L2122" s="11">
        <f t="shared" si="81"/>
        <v>-2713</v>
      </c>
      <c r="M2122" s="11">
        <f t="shared" si="84"/>
        <v>-463</v>
      </c>
    </row>
    <row r="2123" spans="1:13">
      <c r="A2123" s="7">
        <v>45952</v>
      </c>
      <c r="B2123" s="8">
        <f t="shared" si="79"/>
        <v>77.245179063359672</v>
      </c>
      <c r="C2123" s="9">
        <f t="shared" si="78"/>
        <v>0.18152704232049671</v>
      </c>
      <c r="D2123" s="10">
        <f t="shared" si="80"/>
        <v>14.022088888888838</v>
      </c>
      <c r="E2123" s="13">
        <v>79.099999999999994</v>
      </c>
      <c r="F2123" s="10">
        <f>AVERAGE($E$1829:E2123)</f>
        <v>85.497796610169488</v>
      </c>
      <c r="G2123" s="44">
        <v>0.187</v>
      </c>
      <c r="H2123" s="10">
        <f t="shared" si="83"/>
        <v>14.791699999999999</v>
      </c>
      <c r="I2123" s="11">
        <v>2144</v>
      </c>
      <c r="J2123" s="11">
        <v>-2000</v>
      </c>
      <c r="K2123" s="11">
        <v>-613</v>
      </c>
      <c r="L2123" s="11">
        <f t="shared" si="81"/>
        <v>-2613</v>
      </c>
      <c r="M2123" s="11">
        <f t="shared" si="84"/>
        <v>-469</v>
      </c>
    </row>
    <row r="2124" spans="1:13">
      <c r="A2124" s="7">
        <v>45953</v>
      </c>
      <c r="B2124" s="8">
        <f t="shared" si="79"/>
        <v>77.162534435260497</v>
      </c>
      <c r="C2124" s="9">
        <f t="shared" si="78"/>
        <v>0.18114548137570136</v>
      </c>
      <c r="D2124" s="10">
        <f t="shared" si="80"/>
        <v>13.977644444444394</v>
      </c>
      <c r="E2124" s="13">
        <v>78.900000000000006</v>
      </c>
      <c r="F2124" s="10">
        <f>AVERAGE($E$1829:E2124)</f>
        <v>85.475506756756758</v>
      </c>
      <c r="G2124" s="44">
        <v>0.191</v>
      </c>
      <c r="H2124" s="10">
        <f t="shared" si="83"/>
        <v>15.069900000000001</v>
      </c>
      <c r="I2124" s="11">
        <v>1428</v>
      </c>
      <c r="J2124" s="11">
        <v>-2000</v>
      </c>
      <c r="K2124" s="11">
        <v>-455</v>
      </c>
      <c r="L2124" s="11">
        <f t="shared" si="81"/>
        <v>-2455</v>
      </c>
      <c r="M2124" s="11">
        <f t="shared" si="84"/>
        <v>-1027</v>
      </c>
    </row>
    <row r="2125" spans="1:13">
      <c r="A2125" s="7">
        <v>45954</v>
      </c>
      <c r="B2125" s="8">
        <f t="shared" si="79"/>
        <v>77.079889807161322</v>
      </c>
      <c r="C2125" s="9">
        <f t="shared" si="78"/>
        <v>0.18076310221587066</v>
      </c>
      <c r="D2125" s="10">
        <f t="shared" si="80"/>
        <v>13.93319999999995</v>
      </c>
      <c r="E2125" s="13">
        <v>78.599999999999994</v>
      </c>
      <c r="F2125" s="10">
        <f>AVERAGE($E$1829:E2125)</f>
        <v>85.452356902356897</v>
      </c>
      <c r="G2125" s="44">
        <v>0.184</v>
      </c>
      <c r="H2125" s="10">
        <f t="shared" si="83"/>
        <v>14.462399999999999</v>
      </c>
      <c r="I2125" s="11">
        <v>1755</v>
      </c>
      <c r="J2125" s="11">
        <v>-2000</v>
      </c>
      <c r="K2125" s="11">
        <v>-380</v>
      </c>
      <c r="L2125" s="11">
        <f t="shared" si="81"/>
        <v>-2380</v>
      </c>
      <c r="M2125" s="11">
        <f t="shared" si="84"/>
        <v>-625</v>
      </c>
    </row>
    <row r="2126" spans="1:13">
      <c r="A2126" s="7">
        <v>45955</v>
      </c>
      <c r="B2126" s="8">
        <f t="shared" si="79"/>
        <v>76.997245179062148</v>
      </c>
      <c r="C2126" s="9">
        <f t="shared" si="78"/>
        <v>0.180379902206323</v>
      </c>
      <c r="D2126" s="10">
        <f t="shared" si="80"/>
        <v>13.888755555555505</v>
      </c>
      <c r="E2126" s="13">
        <v>77.8</v>
      </c>
      <c r="F2126" s="10">
        <f>AVERAGE($E$1829:E2126)</f>
        <v>85.426677852348988</v>
      </c>
      <c r="G2126" s="44">
        <v>0.189</v>
      </c>
      <c r="H2126" s="10">
        <f t="shared" si="83"/>
        <v>14.7042</v>
      </c>
      <c r="I2126" s="11">
        <v>2743</v>
      </c>
      <c r="J2126" s="11">
        <v>-2000</v>
      </c>
      <c r="K2126" s="11">
        <v>-411</v>
      </c>
      <c r="L2126" s="11">
        <f t="shared" si="81"/>
        <v>-2411</v>
      </c>
      <c r="M2126" s="11">
        <f t="shared" si="84"/>
        <v>332</v>
      </c>
    </row>
    <row r="2127" spans="1:13">
      <c r="A2127" s="7">
        <v>45956</v>
      </c>
      <c r="B2127" s="8">
        <f t="shared" si="79"/>
        <v>76.914600550962973</v>
      </c>
      <c r="C2127" s="9">
        <f t="shared" si="78"/>
        <v>0.17999587870105282</v>
      </c>
      <c r="D2127" s="10">
        <f t="shared" si="80"/>
        <v>13.844311111111061</v>
      </c>
      <c r="E2127" s="13">
        <v>80</v>
      </c>
      <c r="F2127" s="10">
        <f>AVERAGE($E$1829:E2127)</f>
        <v>85.408528428093632</v>
      </c>
      <c r="G2127" s="44">
        <v>0.186</v>
      </c>
      <c r="H2127" s="10">
        <f t="shared" si="83"/>
        <v>14.879999999999999</v>
      </c>
      <c r="I2127" s="11">
        <v>2217</v>
      </c>
      <c r="J2127" s="11">
        <v>-2000</v>
      </c>
      <c r="K2127" s="11">
        <v>-383</v>
      </c>
      <c r="L2127" s="11">
        <f t="shared" si="81"/>
        <v>-2383</v>
      </c>
      <c r="M2127" s="11">
        <f t="shared" si="84"/>
        <v>-166</v>
      </c>
    </row>
    <row r="2128" spans="1:13">
      <c r="A2128" s="7">
        <v>45957</v>
      </c>
      <c r="B2128" s="8">
        <f t="shared" si="79"/>
        <v>76.831955922863798</v>
      </c>
      <c r="C2128" s="9">
        <f t="shared" si="78"/>
        <v>0.17961102904266982</v>
      </c>
      <c r="D2128" s="10">
        <f t="shared" si="80"/>
        <v>13.799866666666617</v>
      </c>
      <c r="E2128" s="13">
        <v>79.7</v>
      </c>
      <c r="F2128" s="10">
        <f>AVERAGE($E$1829:E2128)</f>
        <v>85.389499999999998</v>
      </c>
      <c r="G2128" s="44">
        <v>0.185</v>
      </c>
      <c r="H2128" s="10">
        <f t="shared" si="83"/>
        <v>14.7445</v>
      </c>
      <c r="I2128" s="11">
        <v>2025</v>
      </c>
      <c r="J2128" s="11">
        <v>-2000</v>
      </c>
      <c r="K2128" s="11">
        <v>-112</v>
      </c>
      <c r="L2128" s="11">
        <f t="shared" si="81"/>
        <v>-2112</v>
      </c>
      <c r="M2128" s="11">
        <f t="shared" si="84"/>
        <v>-87</v>
      </c>
    </row>
    <row r="2129" spans="1:13">
      <c r="A2129" s="7">
        <v>45958</v>
      </c>
      <c r="B2129" s="8">
        <f t="shared" si="79"/>
        <v>76.749311294764624</v>
      </c>
      <c r="C2129" s="9">
        <f t="shared" si="78"/>
        <v>0.17922535056233768</v>
      </c>
      <c r="D2129" s="10">
        <f t="shared" si="80"/>
        <v>13.755422222222172</v>
      </c>
      <c r="E2129" s="13">
        <v>78.400000000000006</v>
      </c>
      <c r="F2129" s="10">
        <f>AVERAGE($E$1829:E2129)</f>
        <v>85.366279069767444</v>
      </c>
      <c r="G2129" s="44">
        <v>0.188</v>
      </c>
      <c r="H2129" s="10">
        <f t="shared" si="83"/>
        <v>14.7392</v>
      </c>
      <c r="I2129" s="11">
        <v>2467</v>
      </c>
      <c r="J2129" s="11">
        <v>-2000</v>
      </c>
      <c r="K2129" s="11">
        <v>-547</v>
      </c>
      <c r="L2129" s="11">
        <f t="shared" si="81"/>
        <v>-2547</v>
      </c>
      <c r="M2129" s="11">
        <f t="shared" si="84"/>
        <v>-80</v>
      </c>
    </row>
    <row r="2130" spans="1:13">
      <c r="A2130" s="7">
        <v>45959</v>
      </c>
      <c r="B2130" s="8">
        <f t="shared" si="79"/>
        <v>76.666666666665449</v>
      </c>
      <c r="C2130" s="9">
        <f t="shared" si="78"/>
        <v>0.17883884057971233</v>
      </c>
      <c r="D2130" s="10">
        <f t="shared" si="80"/>
        <v>13.710977777777728</v>
      </c>
      <c r="E2130" s="13">
        <v>78.5</v>
      </c>
      <c r="F2130" s="10">
        <f>AVERAGE($E$1829:E2130)</f>
        <v>85.34354304635761</v>
      </c>
      <c r="G2130" s="44">
        <v>0.188</v>
      </c>
      <c r="H2130" s="10">
        <f t="shared" si="83"/>
        <v>14.758000000000001</v>
      </c>
      <c r="I2130" s="11">
        <v>2629</v>
      </c>
      <c r="J2130" s="11">
        <v>-2000</v>
      </c>
      <c r="K2130" s="11">
        <v>-584</v>
      </c>
      <c r="L2130" s="11">
        <f t="shared" si="81"/>
        <v>-2584</v>
      </c>
      <c r="M2130" s="11">
        <f t="shared" si="84"/>
        <v>45</v>
      </c>
    </row>
    <row r="2131" spans="1:13">
      <c r="A2131" s="7">
        <v>45960</v>
      </c>
      <c r="B2131" s="8">
        <f t="shared" si="79"/>
        <v>76.584022038566275</v>
      </c>
      <c r="C2131" s="9">
        <f t="shared" si="78"/>
        <v>0.17845149640287988</v>
      </c>
      <c r="D2131" s="10">
        <f t="shared" si="80"/>
        <v>13.666533333333284</v>
      </c>
      <c r="E2131" s="13">
        <v>79.2</v>
      </c>
      <c r="F2131" s="10">
        <f>AVERAGE($E$1829:E2131)</f>
        <v>85.323267326732676</v>
      </c>
      <c r="G2131" s="44">
        <v>0.183</v>
      </c>
      <c r="H2131" s="10">
        <f t="shared" si="83"/>
        <v>14.493600000000001</v>
      </c>
      <c r="I2131" s="11">
        <v>2059</v>
      </c>
      <c r="J2131" s="11">
        <v>-2000</v>
      </c>
      <c r="K2131" s="11">
        <v>-443</v>
      </c>
      <c r="L2131" s="11">
        <f t="shared" si="81"/>
        <v>-2443</v>
      </c>
      <c r="M2131" s="11">
        <f t="shared" si="84"/>
        <v>-384</v>
      </c>
    </row>
    <row r="2132" spans="1:13">
      <c r="A2132" s="7">
        <v>45961</v>
      </c>
      <c r="B2132" s="8">
        <f t="shared" si="79"/>
        <v>76.5013774104671</v>
      </c>
      <c r="C2132" s="9">
        <f t="shared" si="78"/>
        <v>0.17806331532829411</v>
      </c>
      <c r="D2132" s="10">
        <f t="shared" si="80"/>
        <v>13.62208888888884</v>
      </c>
      <c r="E2132" s="13">
        <v>79.5</v>
      </c>
      <c r="F2132" s="10">
        <f>AVERAGE($E$1829:E2132)</f>
        <v>85.304111842105272</v>
      </c>
      <c r="G2132" s="44">
        <v>0.182</v>
      </c>
      <c r="H2132" s="10">
        <f t="shared" si="83"/>
        <v>14.468999999999999</v>
      </c>
      <c r="I2132" s="11">
        <v>2894</v>
      </c>
      <c r="J2132" s="11">
        <v>-2000</v>
      </c>
      <c r="K2132" s="11">
        <v>-557</v>
      </c>
      <c r="L2132" s="11">
        <f t="shared" si="81"/>
        <v>-2557</v>
      </c>
      <c r="M2132" s="11">
        <f t="shared" si="84"/>
        <v>337</v>
      </c>
    </row>
    <row r="2133" spans="1:13">
      <c r="A2133" s="7">
        <v>45962</v>
      </c>
      <c r="B2133" s="8">
        <f>B2132-(2/30.25)+1.6</f>
        <v>78.035261707987758</v>
      </c>
      <c r="C2133" s="9">
        <f t="shared" si="78"/>
        <v>0.17399370678415468</v>
      </c>
      <c r="D2133" s="10">
        <f t="shared" si="80"/>
        <v>13.577644444444395</v>
      </c>
      <c r="E2133" s="13">
        <v>79</v>
      </c>
      <c r="F2133" s="10">
        <f>AVERAGE($E$1829:E2133)</f>
        <v>85.283442622950815</v>
      </c>
      <c r="G2133" s="44">
        <v>0.19</v>
      </c>
      <c r="H2133" s="10">
        <f t="shared" si="83"/>
        <v>15.01</v>
      </c>
      <c r="I2133" s="11">
        <v>2591</v>
      </c>
      <c r="J2133" s="11">
        <v>-2000</v>
      </c>
      <c r="K2133" s="11">
        <v>-1275</v>
      </c>
      <c r="L2133" s="11">
        <f t="shared" si="81"/>
        <v>-3275</v>
      </c>
      <c r="M2133" s="11">
        <f t="shared" si="84"/>
        <v>-684</v>
      </c>
    </row>
    <row r="2134" spans="1:13">
      <c r="A2134" s="7">
        <v>45963</v>
      </c>
      <c r="B2134" s="8">
        <f>B2133-(2/30.25)</f>
        <v>77.969146005508421</v>
      </c>
      <c r="C2134" s="9">
        <f t="shared" si="78"/>
        <v>0.1735712226352184</v>
      </c>
      <c r="D2134" s="10">
        <f t="shared" si="80"/>
        <v>13.533199999999951</v>
      </c>
      <c r="E2134" s="13">
        <v>79.8</v>
      </c>
      <c r="F2134" s="10">
        <f>AVERAGE($E$1829:E2134)</f>
        <v>85.265522875816998</v>
      </c>
      <c r="G2134" s="44">
        <v>0.187</v>
      </c>
      <c r="H2134" s="10">
        <f t="shared" si="83"/>
        <v>14.922599999999999</v>
      </c>
      <c r="I2134" s="11">
        <v>1735</v>
      </c>
      <c r="J2134" s="11">
        <v>-2000</v>
      </c>
      <c r="K2134" s="11">
        <v>-663</v>
      </c>
      <c r="L2134" s="11">
        <f t="shared" si="81"/>
        <v>-2663</v>
      </c>
      <c r="M2134" s="11">
        <f t="shared" si="84"/>
        <v>-928</v>
      </c>
    </row>
    <row r="2135" spans="1:13">
      <c r="A2135" s="7">
        <v>45964</v>
      </c>
      <c r="B2135" s="8">
        <f t="shared" ref="B2135:B2179" si="85">B2134-(2/30.25)</f>
        <v>77.903030303029084</v>
      </c>
      <c r="C2135" s="9">
        <f t="shared" si="78"/>
        <v>0.17314802136818838</v>
      </c>
      <c r="D2135" s="10">
        <f t="shared" si="80"/>
        <v>13.488755555555507</v>
      </c>
      <c r="E2135" s="13">
        <v>79.5</v>
      </c>
      <c r="F2135" s="10">
        <f>AVERAGE($E$1829:E2135)</f>
        <v>85.24674267100977</v>
      </c>
      <c r="G2135" s="44">
        <v>0.17799999999999999</v>
      </c>
      <c r="H2135" s="10">
        <f t="shared" si="83"/>
        <v>14.151</v>
      </c>
      <c r="I2135" s="11">
        <v>1239</v>
      </c>
      <c r="J2135" s="11">
        <v>-2000</v>
      </c>
      <c r="K2135" s="11">
        <v>-334</v>
      </c>
      <c r="L2135" s="11">
        <f t="shared" si="81"/>
        <v>-2334</v>
      </c>
      <c r="M2135" s="11">
        <f t="shared" si="84"/>
        <v>-1095</v>
      </c>
    </row>
    <row r="2136" spans="1:13">
      <c r="A2136" s="7">
        <v>45965</v>
      </c>
      <c r="B2136" s="8">
        <f t="shared" si="85"/>
        <v>77.836914600549747</v>
      </c>
      <c r="C2136" s="9">
        <f t="shared" si="78"/>
        <v>0.17272410115567591</v>
      </c>
      <c r="D2136" s="10">
        <f t="shared" si="80"/>
        <v>13.444311111111062</v>
      </c>
      <c r="E2136" s="13">
        <v>78.5</v>
      </c>
      <c r="F2136" s="10">
        <f>AVERAGE($E$1829:E2136)</f>
        <v>85.224837662337663</v>
      </c>
      <c r="G2136" s="44">
        <v>0.18099999999999999</v>
      </c>
      <c r="H2136" s="10">
        <f t="shared" si="83"/>
        <v>14.208499999999999</v>
      </c>
      <c r="I2136" s="11">
        <v>2213</v>
      </c>
      <c r="J2136" s="11">
        <v>-2000</v>
      </c>
      <c r="K2136" s="11">
        <v>-479</v>
      </c>
      <c r="L2136" s="11">
        <f t="shared" si="81"/>
        <v>-2479</v>
      </c>
      <c r="M2136" s="11">
        <f t="shared" si="84"/>
        <v>-266</v>
      </c>
    </row>
    <row r="2137" spans="1:13">
      <c r="A2137" s="7">
        <v>45966</v>
      </c>
      <c r="B2137" s="8">
        <f t="shared" si="85"/>
        <v>77.77079889807041</v>
      </c>
      <c r="C2137" s="9">
        <f t="shared" si="78"/>
        <v>0.17229946016407818</v>
      </c>
      <c r="D2137" s="10">
        <f t="shared" si="80"/>
        <v>13.399866666666618</v>
      </c>
      <c r="E2137" s="13">
        <v>79.5</v>
      </c>
      <c r="F2137" s="10">
        <f>AVERAGE($E$1829:E2137)</f>
        <v>85.206310679611647</v>
      </c>
      <c r="G2137" s="44">
        <v>0.17499999999999999</v>
      </c>
      <c r="H2137" s="10">
        <f t="shared" si="83"/>
        <v>13.9125</v>
      </c>
      <c r="I2137" s="11">
        <v>1123</v>
      </c>
      <c r="J2137" s="11">
        <v>-2000</v>
      </c>
      <c r="K2137" s="11">
        <v>-381</v>
      </c>
      <c r="L2137" s="11">
        <f t="shared" si="81"/>
        <v>-2381</v>
      </c>
      <c r="M2137" s="11">
        <f t="shared" si="84"/>
        <v>-1258</v>
      </c>
    </row>
    <row r="2138" spans="1:13">
      <c r="A2138" s="7">
        <v>45967</v>
      </c>
      <c r="B2138" s="8">
        <f t="shared" si="85"/>
        <v>77.704683195591073</v>
      </c>
      <c r="C2138" s="9">
        <f t="shared" ref="C2138:C2201" si="86">D2138/B2138</f>
        <v>0.17187409655355179</v>
      </c>
      <c r="D2138" s="10">
        <f t="shared" si="80"/>
        <v>13.355422222222174</v>
      </c>
      <c r="E2138" s="13">
        <v>78.400000000000006</v>
      </c>
      <c r="F2138" s="10">
        <f>AVERAGE($E$1829:E2138)</f>
        <v>85.18435483870968</v>
      </c>
      <c r="G2138" s="44">
        <v>0.17799999999999999</v>
      </c>
      <c r="H2138" s="10">
        <f t="shared" si="83"/>
        <v>13.9552</v>
      </c>
      <c r="I2138" s="11">
        <v>1885</v>
      </c>
      <c r="J2138" s="11">
        <v>-2000</v>
      </c>
      <c r="K2138" s="11">
        <v>-500</v>
      </c>
      <c r="L2138" s="11">
        <f t="shared" si="81"/>
        <v>-2500</v>
      </c>
      <c r="M2138" s="11">
        <f t="shared" si="84"/>
        <v>-615</v>
      </c>
    </row>
    <row r="2139" spans="1:13">
      <c r="A2139" s="7">
        <v>45968</v>
      </c>
      <c r="B2139" s="8">
        <f t="shared" si="85"/>
        <v>77.638567493111736</v>
      </c>
      <c r="C2139" s="9">
        <f t="shared" si="86"/>
        <v>0.17144800847798627</v>
      </c>
      <c r="D2139" s="10">
        <f t="shared" si="80"/>
        <v>13.31097777777773</v>
      </c>
      <c r="E2139" s="13">
        <v>78.7</v>
      </c>
      <c r="F2139" s="10">
        <f>AVERAGE($E$1829:E2139)</f>
        <v>85.163504823151129</v>
      </c>
      <c r="G2139" s="44">
        <v>0.18</v>
      </c>
      <c r="H2139" s="10">
        <f t="shared" si="83"/>
        <v>14.166</v>
      </c>
      <c r="I2139" s="11">
        <v>1848</v>
      </c>
      <c r="J2139" s="11">
        <v>-2000</v>
      </c>
      <c r="K2139" s="11">
        <v>-642</v>
      </c>
      <c r="L2139" s="11">
        <f t="shared" si="81"/>
        <v>-2642</v>
      </c>
      <c r="M2139" s="11">
        <f t="shared" si="84"/>
        <v>-794</v>
      </c>
    </row>
    <row r="2140" spans="1:13">
      <c r="A2140" s="7">
        <v>45969</v>
      </c>
      <c r="B2140" s="8">
        <f t="shared" si="85"/>
        <v>77.5724517906324</v>
      </c>
      <c r="C2140" s="9">
        <f t="shared" si="86"/>
        <v>0.17102119408497726</v>
      </c>
      <c r="D2140" s="10">
        <f t="shared" si="80"/>
        <v>13.266533333333285</v>
      </c>
      <c r="E2140" s="13">
        <v>77.5</v>
      </c>
      <c r="F2140" s="10">
        <f>AVERAGE($E$1829:E2140)</f>
        <v>85.138942307692318</v>
      </c>
      <c r="G2140" s="44">
        <v>0.185</v>
      </c>
      <c r="H2140" s="10">
        <f t="shared" si="83"/>
        <v>14.3375</v>
      </c>
      <c r="I2140" s="11">
        <v>2375</v>
      </c>
      <c r="J2140" s="11">
        <v>-2000</v>
      </c>
      <c r="K2140" s="11">
        <v>-531</v>
      </c>
      <c r="L2140" s="11">
        <f t="shared" si="81"/>
        <v>-2531</v>
      </c>
      <c r="M2140" s="11">
        <f t="shared" si="84"/>
        <v>-156</v>
      </c>
    </row>
    <row r="2141" spans="1:13">
      <c r="A2141" s="7">
        <v>45970</v>
      </c>
      <c r="B2141" s="8">
        <f t="shared" si="85"/>
        <v>77.506336088153063</v>
      </c>
      <c r="C2141" s="9">
        <f t="shared" si="86"/>
        <v>0.1705936515157998</v>
      </c>
      <c r="D2141" s="10">
        <f t="shared" si="80"/>
        <v>13.222088888888841</v>
      </c>
      <c r="E2141" s="13">
        <v>78.599999999999994</v>
      </c>
      <c r="F2141" s="10">
        <f>AVERAGE($E$1829:E2141)</f>
        <v>85.118051118210872</v>
      </c>
      <c r="G2141" s="44">
        <v>0.186</v>
      </c>
      <c r="H2141" s="10">
        <f t="shared" si="83"/>
        <v>14.619599999999998</v>
      </c>
      <c r="I2141" s="11">
        <v>2541</v>
      </c>
      <c r="J2141" s="11">
        <v>-2000</v>
      </c>
      <c r="K2141" s="11">
        <v>-714</v>
      </c>
      <c r="L2141" s="11">
        <f t="shared" si="81"/>
        <v>-2714</v>
      </c>
      <c r="M2141" s="11">
        <f t="shared" si="84"/>
        <v>-173</v>
      </c>
    </row>
    <row r="2142" spans="1:13">
      <c r="A2142" s="7">
        <v>45971</v>
      </c>
      <c r="B2142" s="8">
        <f t="shared" si="85"/>
        <v>77.440220385673726</v>
      </c>
      <c r="C2142" s="9">
        <f t="shared" si="86"/>
        <v>0.17016537890538122</v>
      </c>
      <c r="D2142" s="10">
        <f t="shared" si="80"/>
        <v>13.177644444444397</v>
      </c>
      <c r="E2142" s="13">
        <v>79.3</v>
      </c>
      <c r="F2142" s="10">
        <f>AVERAGE($E$1829:E2142)</f>
        <v>85.099522292993626</v>
      </c>
      <c r="G2142" s="44">
        <v>0.184</v>
      </c>
      <c r="H2142" s="10">
        <f t="shared" si="83"/>
        <v>14.591199999999999</v>
      </c>
      <c r="I2142" s="11">
        <v>2337</v>
      </c>
      <c r="J2142" s="11">
        <v>-2000</v>
      </c>
      <c r="K2142" s="11">
        <v>-732</v>
      </c>
      <c r="L2142" s="11">
        <f t="shared" si="81"/>
        <v>-2732</v>
      </c>
      <c r="M2142" s="11">
        <f t="shared" si="84"/>
        <v>-395</v>
      </c>
    </row>
    <row r="2143" spans="1:13">
      <c r="A2143" s="7">
        <v>45972</v>
      </c>
      <c r="B2143" s="8">
        <f t="shared" si="85"/>
        <v>77.374104683194389</v>
      </c>
      <c r="C2143" s="9">
        <f t="shared" si="86"/>
        <v>0.16973637438227412</v>
      </c>
      <c r="D2143" s="10">
        <f t="shared" si="80"/>
        <v>13.133199999999952</v>
      </c>
      <c r="E2143" s="13">
        <v>79.099999999999994</v>
      </c>
      <c r="F2143" s="10">
        <f>AVERAGE($E$1829:E2143)</f>
        <v>85.08047619047619</v>
      </c>
      <c r="G2143" s="44">
        <v>0.19</v>
      </c>
      <c r="H2143" s="10">
        <f t="shared" si="83"/>
        <v>15.029</v>
      </c>
      <c r="I2143" s="11">
        <v>1550</v>
      </c>
      <c r="J2143" s="11">
        <v>-2000</v>
      </c>
      <c r="K2143" s="11">
        <v>-715</v>
      </c>
      <c r="L2143" s="11">
        <f t="shared" si="81"/>
        <v>-2715</v>
      </c>
      <c r="M2143" s="11">
        <f t="shared" si="84"/>
        <v>-1165</v>
      </c>
    </row>
    <row r="2144" spans="1:13">
      <c r="A2144" s="7">
        <v>45973</v>
      </c>
      <c r="B2144" s="8">
        <f t="shared" si="85"/>
        <v>77.307988980715052</v>
      </c>
      <c r="C2144" s="9">
        <f t="shared" si="86"/>
        <v>0.16930663606862906</v>
      </c>
      <c r="D2144" s="10">
        <f t="shared" si="80"/>
        <v>13.088755555555508</v>
      </c>
      <c r="E2144" s="13">
        <v>79.3</v>
      </c>
      <c r="F2144" s="10">
        <f>AVERAGE($E$1829:E2144)</f>
        <v>85.062183544303792</v>
      </c>
      <c r="G2144" s="44">
        <v>0.18099999999999999</v>
      </c>
      <c r="H2144" s="10">
        <f t="shared" si="83"/>
        <v>14.353299999999999</v>
      </c>
      <c r="I2144" s="11">
        <v>1281</v>
      </c>
      <c r="J2144" s="11">
        <v>-2000</v>
      </c>
      <c r="K2144" s="11">
        <v>-468</v>
      </c>
      <c r="L2144" s="11">
        <f t="shared" si="81"/>
        <v>-2468</v>
      </c>
      <c r="M2144" s="11">
        <f t="shared" si="84"/>
        <v>-1187</v>
      </c>
    </row>
    <row r="2145" spans="1:13">
      <c r="A2145" s="7">
        <v>45974</v>
      </c>
      <c r="B2145" s="8">
        <f t="shared" si="85"/>
        <v>77.241873278235715</v>
      </c>
      <c r="C2145" s="9">
        <f t="shared" si="86"/>
        <v>0.16887616208016712</v>
      </c>
      <c r="D2145" s="10">
        <f t="shared" si="80"/>
        <v>13.044311111111064</v>
      </c>
      <c r="E2145" s="13">
        <v>78.099999999999994</v>
      </c>
      <c r="F2145" s="10">
        <f>AVERAGE($E$1829:E2145)</f>
        <v>85.040220820189262</v>
      </c>
      <c r="G2145" s="44">
        <v>0.182</v>
      </c>
      <c r="H2145" s="10">
        <f t="shared" si="83"/>
        <v>14.214199999999998</v>
      </c>
      <c r="I2145" s="11">
        <v>1407</v>
      </c>
      <c r="J2145" s="11">
        <v>-2000</v>
      </c>
      <c r="K2145" s="11">
        <v>-356</v>
      </c>
      <c r="L2145" s="11">
        <f t="shared" si="81"/>
        <v>-2356</v>
      </c>
      <c r="M2145" s="11">
        <f t="shared" si="84"/>
        <v>-949</v>
      </c>
    </row>
    <row r="2146" spans="1:13">
      <c r="A2146" s="7">
        <v>45975</v>
      </c>
      <c r="B2146" s="8">
        <f t="shared" si="85"/>
        <v>77.175757575756379</v>
      </c>
      <c r="C2146" s="9">
        <f t="shared" si="86"/>
        <v>0.16844495052615246</v>
      </c>
      <c r="D2146" s="10">
        <f t="shared" si="80"/>
        <v>12.99986666666662</v>
      </c>
      <c r="E2146" s="13">
        <v>77.7</v>
      </c>
      <c r="F2146" s="10">
        <f>AVERAGE($E$1829:E2146)</f>
        <v>85.017138364779868</v>
      </c>
      <c r="G2146" s="44">
        <v>0.182</v>
      </c>
      <c r="H2146" s="10">
        <f t="shared" si="83"/>
        <v>14.141400000000001</v>
      </c>
      <c r="I2146" s="11">
        <v>1857</v>
      </c>
      <c r="J2146" s="11">
        <v>-2000</v>
      </c>
      <c r="K2146" s="11">
        <v>-445</v>
      </c>
      <c r="L2146" s="11">
        <f t="shared" si="81"/>
        <v>-2445</v>
      </c>
      <c r="M2146" s="11">
        <f t="shared" si="84"/>
        <v>-588</v>
      </c>
    </row>
    <row r="2147" spans="1:13">
      <c r="A2147" s="7">
        <v>45976</v>
      </c>
      <c r="B2147" s="8">
        <f t="shared" si="85"/>
        <v>77.109641873277042</v>
      </c>
      <c r="C2147" s="9">
        <f t="shared" si="86"/>
        <v>0.1680129995093646</v>
      </c>
      <c r="D2147" s="10">
        <f t="shared" si="80"/>
        <v>12.955422222222175</v>
      </c>
      <c r="E2147" s="13">
        <v>77</v>
      </c>
      <c r="F2147" s="10">
        <f>AVERAGE($E$1829:E2147)</f>
        <v>84.992006269592466</v>
      </c>
      <c r="G2147" s="44">
        <v>0.188</v>
      </c>
      <c r="H2147" s="10">
        <f t="shared" si="83"/>
        <v>14.476000000000001</v>
      </c>
      <c r="I2147" s="11">
        <v>2408</v>
      </c>
      <c r="J2147" s="11">
        <v>-2000</v>
      </c>
      <c r="K2147" s="11">
        <v>-1355</v>
      </c>
      <c r="L2147" s="11">
        <f t="shared" si="81"/>
        <v>-3355</v>
      </c>
      <c r="M2147" s="11">
        <f t="shared" si="84"/>
        <v>-947</v>
      </c>
    </row>
    <row r="2148" spans="1:13">
      <c r="A2148" s="7">
        <v>45977</v>
      </c>
      <c r="B2148" s="8">
        <f t="shared" si="85"/>
        <v>77.043526170797705</v>
      </c>
      <c r="C2148" s="9">
        <f t="shared" si="86"/>
        <v>0.16758030712607053</v>
      </c>
      <c r="D2148" s="10">
        <f t="shared" si="80"/>
        <v>12.910977777777731</v>
      </c>
      <c r="E2148" s="13">
        <v>78</v>
      </c>
      <c r="F2148" s="10">
        <f>AVERAGE($E$1829:E2148)</f>
        <v>84.970156249999988</v>
      </c>
      <c r="G2148" s="44">
        <v>0.184</v>
      </c>
      <c r="H2148" s="10">
        <f t="shared" si="83"/>
        <v>14.352</v>
      </c>
      <c r="I2148" s="11">
        <v>2030</v>
      </c>
      <c r="J2148" s="11">
        <v>-2000</v>
      </c>
      <c r="K2148" s="11">
        <v>-424</v>
      </c>
      <c r="L2148" s="11">
        <f t="shared" si="81"/>
        <v>-2424</v>
      </c>
      <c r="M2148" s="11">
        <f t="shared" si="84"/>
        <v>-394</v>
      </c>
    </row>
    <row r="2149" spans="1:13">
      <c r="A2149" s="7">
        <v>45978</v>
      </c>
      <c r="B2149" s="8">
        <f t="shared" si="85"/>
        <v>76.977410468318368</v>
      </c>
      <c r="C2149" s="9">
        <f t="shared" si="86"/>
        <v>0.1671468714659968</v>
      </c>
      <c r="D2149" s="10">
        <f t="shared" si="80"/>
        <v>12.866533333333287</v>
      </c>
      <c r="E2149" s="13">
        <v>79.3</v>
      </c>
      <c r="F2149" s="10">
        <f>AVERAGE($E$1829:E2149)</f>
        <v>84.952492211837992</v>
      </c>
      <c r="G2149" s="44">
        <v>0.17599999999999999</v>
      </c>
      <c r="H2149" s="10">
        <f t="shared" si="83"/>
        <v>13.956799999999999</v>
      </c>
      <c r="I2149" s="11">
        <v>2017</v>
      </c>
      <c r="J2149" s="11">
        <v>-2000</v>
      </c>
      <c r="K2149" s="11">
        <v>-372</v>
      </c>
      <c r="L2149" s="11">
        <f t="shared" si="81"/>
        <v>-2372</v>
      </c>
      <c r="M2149" s="11">
        <f t="shared" si="84"/>
        <v>-355</v>
      </c>
    </row>
    <row r="2150" spans="1:13">
      <c r="A2150" s="7">
        <v>45979</v>
      </c>
      <c r="B2150" s="8">
        <f t="shared" si="85"/>
        <v>76.911294765839031</v>
      </c>
      <c r="C2150" s="9">
        <f t="shared" si="86"/>
        <v>0.16671269061230146</v>
      </c>
      <c r="D2150" s="10">
        <f t="shared" si="80"/>
        <v>12.822088888888842</v>
      </c>
      <c r="E2150" s="13">
        <v>78.599999999999994</v>
      </c>
      <c r="F2150" s="10">
        <f>AVERAGE($E$1829:E2150)</f>
        <v>84.932763975155268</v>
      </c>
      <c r="G2150" s="44">
        <v>0.17799999999999999</v>
      </c>
      <c r="H2150" s="10">
        <f t="shared" si="83"/>
        <v>13.990799999999998</v>
      </c>
      <c r="I2150" s="11">
        <v>2302</v>
      </c>
      <c r="J2150" s="11">
        <v>-2000</v>
      </c>
      <c r="K2150" s="11">
        <v>-606</v>
      </c>
      <c r="L2150" s="11">
        <f t="shared" si="81"/>
        <v>-2606</v>
      </c>
      <c r="M2150" s="11">
        <f t="shared" si="84"/>
        <v>-304</v>
      </c>
    </row>
    <row r="2151" spans="1:13">
      <c r="A2151" s="7">
        <v>45980</v>
      </c>
      <c r="B2151" s="8">
        <f t="shared" si="85"/>
        <v>76.845179063359694</v>
      </c>
      <c r="C2151" s="9">
        <f t="shared" si="86"/>
        <v>0.16627776264154567</v>
      </c>
      <c r="D2151" s="10">
        <f t="shared" ref="D2151:D2169" si="87">D2150-(4/90)</f>
        <v>12.777644444444398</v>
      </c>
      <c r="E2151" s="13">
        <v>78.3</v>
      </c>
      <c r="F2151" s="10">
        <f>AVERAGE($E$1829:E2151)</f>
        <v>84.91222910216716</v>
      </c>
      <c r="G2151" s="44">
        <v>0.183</v>
      </c>
      <c r="H2151" s="10">
        <f t="shared" si="83"/>
        <v>14.328899999999999</v>
      </c>
      <c r="I2151" s="11">
        <v>2039</v>
      </c>
      <c r="J2151" s="11">
        <v>-2000</v>
      </c>
      <c r="K2151" s="11">
        <v>-406</v>
      </c>
      <c r="L2151" s="11">
        <f t="shared" si="81"/>
        <v>-2406</v>
      </c>
      <c r="M2151" s="11">
        <f t="shared" si="84"/>
        <v>-367</v>
      </c>
    </row>
    <row r="2152" spans="1:13">
      <c r="A2152" s="7">
        <v>45981</v>
      </c>
      <c r="B2152" s="8">
        <f t="shared" si="85"/>
        <v>76.779063360880357</v>
      </c>
      <c r="C2152" s="9">
        <f t="shared" si="86"/>
        <v>0.16584208562366543</v>
      </c>
      <c r="D2152" s="10">
        <f t="shared" si="87"/>
        <v>12.733199999999954</v>
      </c>
      <c r="E2152" s="13">
        <v>78.2</v>
      </c>
      <c r="F2152" s="10">
        <f>AVERAGE($E$1829:E2152)</f>
        <v>84.89151234567899</v>
      </c>
      <c r="G2152" s="44">
        <v>0.17599999999999999</v>
      </c>
      <c r="H2152" s="10">
        <f t="shared" si="83"/>
        <v>13.763199999999999</v>
      </c>
      <c r="I2152" s="11">
        <v>2297</v>
      </c>
      <c r="J2152" s="11">
        <v>-2000</v>
      </c>
      <c r="K2152" s="11">
        <v>-511</v>
      </c>
      <c r="L2152" s="11">
        <f t="shared" si="81"/>
        <v>-2511</v>
      </c>
      <c r="M2152" s="11">
        <f t="shared" si="84"/>
        <v>-214</v>
      </c>
    </row>
    <row r="2153" spans="1:13">
      <c r="A2153" s="7">
        <v>45982</v>
      </c>
      <c r="B2153" s="8">
        <f t="shared" si="85"/>
        <v>76.712947658401021</v>
      </c>
      <c r="C2153" s="9">
        <f t="shared" si="86"/>
        <v>0.16540565762194295</v>
      </c>
      <c r="D2153" s="10">
        <f t="shared" si="87"/>
        <v>12.68875555555551</v>
      </c>
      <c r="E2153" s="13">
        <v>78.3</v>
      </c>
      <c r="F2153" s="10">
        <f>AVERAGE($E$1829:E2153)</f>
        <v>84.871230769230749</v>
      </c>
      <c r="G2153" s="44">
        <v>0.182</v>
      </c>
      <c r="H2153" s="10">
        <f t="shared" si="83"/>
        <v>14.250599999999999</v>
      </c>
      <c r="I2153" s="11">
        <v>1811</v>
      </c>
      <c r="J2153" s="11">
        <v>-2000</v>
      </c>
      <c r="K2153" s="11">
        <v>-626</v>
      </c>
      <c r="L2153" s="11">
        <f t="shared" si="81"/>
        <v>-2626</v>
      </c>
      <c r="M2153" s="11">
        <f t="shared" si="84"/>
        <v>-815</v>
      </c>
    </row>
    <row r="2154" spans="1:13">
      <c r="A2154" s="7">
        <v>45983</v>
      </c>
      <c r="B2154" s="8">
        <f t="shared" si="85"/>
        <v>76.646831955921684</v>
      </c>
      <c r="C2154" s="9">
        <f t="shared" si="86"/>
        <v>0.16496847669297796</v>
      </c>
      <c r="D2154" s="10">
        <f t="shared" si="87"/>
        <v>12.644311111111065</v>
      </c>
      <c r="E2154" s="13">
        <v>77.900000000000006</v>
      </c>
      <c r="F2154" s="10">
        <f>AVERAGE($E$1829:E2154)</f>
        <v>84.849846625766858</v>
      </c>
      <c r="G2154" s="44">
        <v>0.189</v>
      </c>
      <c r="H2154" s="10">
        <f t="shared" si="83"/>
        <v>14.723100000000001</v>
      </c>
      <c r="I2154" s="11">
        <v>2925</v>
      </c>
      <c r="J2154" s="11">
        <v>-2000</v>
      </c>
      <c r="K2154" s="11">
        <v>-530</v>
      </c>
      <c r="L2154" s="11">
        <f t="shared" si="81"/>
        <v>-2530</v>
      </c>
      <c r="M2154" s="11">
        <f t="shared" si="84"/>
        <v>395</v>
      </c>
    </row>
    <row r="2155" spans="1:13">
      <c r="A2155" s="7">
        <v>45984</v>
      </c>
      <c r="B2155" s="8">
        <f t="shared" si="85"/>
        <v>76.580716253442347</v>
      </c>
      <c r="C2155" s="9">
        <f t="shared" si="86"/>
        <v>0.16453054088665892</v>
      </c>
      <c r="D2155" s="10">
        <f t="shared" si="87"/>
        <v>12.599866666666621</v>
      </c>
      <c r="E2155" s="13">
        <v>79</v>
      </c>
      <c r="F2155" s="10">
        <f>AVERAGE($E$1829:E2155)</f>
        <v>84.831957186544329</v>
      </c>
      <c r="G2155" s="44">
        <v>0.19</v>
      </c>
      <c r="H2155" s="10">
        <f t="shared" si="83"/>
        <v>15.01</v>
      </c>
      <c r="I2155" s="11">
        <v>2182</v>
      </c>
      <c r="J2155" s="11">
        <v>-2000</v>
      </c>
      <c r="K2155" s="11">
        <v>-839</v>
      </c>
      <c r="L2155" s="11">
        <f t="shared" si="81"/>
        <v>-2839</v>
      </c>
      <c r="M2155" s="11">
        <f t="shared" si="84"/>
        <v>-657</v>
      </c>
    </row>
    <row r="2156" spans="1:13">
      <c r="A2156" s="7">
        <v>45985</v>
      </c>
      <c r="B2156" s="8">
        <f t="shared" si="85"/>
        <v>76.51460055096301</v>
      </c>
      <c r="C2156" s="9">
        <f t="shared" si="86"/>
        <v>0.1640918482461339</v>
      </c>
      <c r="D2156" s="10">
        <f t="shared" si="87"/>
        <v>12.555422222222177</v>
      </c>
      <c r="E2156" s="13">
        <v>79.7</v>
      </c>
      <c r="F2156" s="10">
        <f>AVERAGE($E$1829:E2156)</f>
        <v>84.816310975609738</v>
      </c>
      <c r="G2156" s="44">
        <v>0.191</v>
      </c>
      <c r="H2156" s="10">
        <f t="shared" si="83"/>
        <v>15.222700000000001</v>
      </c>
      <c r="I2156" s="11">
        <v>1461</v>
      </c>
      <c r="J2156" s="11">
        <v>-2000</v>
      </c>
      <c r="K2156" s="11">
        <v>-525</v>
      </c>
      <c r="L2156" s="11">
        <f t="shared" si="81"/>
        <v>-2525</v>
      </c>
      <c r="M2156" s="11">
        <f t="shared" si="84"/>
        <v>-1064</v>
      </c>
    </row>
    <row r="2157" spans="1:13">
      <c r="A2157" s="7">
        <v>45986</v>
      </c>
      <c r="B2157" s="8">
        <f t="shared" si="85"/>
        <v>76.448484848483673</v>
      </c>
      <c r="C2157" s="9">
        <f t="shared" si="86"/>
        <v>0.16365239680778162</v>
      </c>
      <c r="D2157" s="10">
        <f t="shared" si="87"/>
        <v>12.510977777777732</v>
      </c>
      <c r="E2157" s="13">
        <v>78.400000000000006</v>
      </c>
      <c r="F2157" s="10">
        <f>AVERAGE($E$1829:E2157)</f>
        <v>84.796808510638286</v>
      </c>
      <c r="G2157" s="44">
        <v>0.184</v>
      </c>
      <c r="H2157" s="10">
        <f t="shared" si="83"/>
        <v>14.425600000000001</v>
      </c>
      <c r="I2157" s="11">
        <v>1319</v>
      </c>
      <c r="J2157" s="11">
        <v>-2000</v>
      </c>
      <c r="K2157" s="11">
        <v>-710</v>
      </c>
      <c r="L2157" s="11">
        <f t="shared" si="81"/>
        <v>-2710</v>
      </c>
      <c r="M2157" s="11">
        <f t="shared" si="84"/>
        <v>-1391</v>
      </c>
    </row>
    <row r="2158" spans="1:13">
      <c r="A2158" s="7">
        <v>45987</v>
      </c>
      <c r="B2158" s="8">
        <f t="shared" si="85"/>
        <v>76.382369146004336</v>
      </c>
      <c r="C2158" s="9">
        <f t="shared" si="86"/>
        <v>0.163212184601182</v>
      </c>
      <c r="D2158" s="10">
        <f t="shared" si="87"/>
        <v>12.466533333333288</v>
      </c>
      <c r="E2158" s="13">
        <v>78</v>
      </c>
      <c r="F2158" s="10">
        <f>AVERAGE($E$1829:E2158)</f>
        <v>84.776212121212112</v>
      </c>
      <c r="G2158" s="44">
        <v>0.182</v>
      </c>
      <c r="H2158" s="10">
        <f t="shared" si="83"/>
        <v>14.196</v>
      </c>
      <c r="I2158" s="11">
        <v>1952</v>
      </c>
      <c r="J2158" s="11">
        <v>-2000</v>
      </c>
      <c r="K2158" s="11">
        <v>-856</v>
      </c>
      <c r="L2158" s="11">
        <f t="shared" si="81"/>
        <v>-2856</v>
      </c>
      <c r="M2158" s="11">
        <f t="shared" si="84"/>
        <v>-904</v>
      </c>
    </row>
    <row r="2159" spans="1:13">
      <c r="A2159" s="7">
        <v>45988</v>
      </c>
      <c r="B2159" s="8">
        <f t="shared" si="85"/>
        <v>76.316253443525</v>
      </c>
      <c r="C2159" s="9">
        <f t="shared" si="86"/>
        <v>0.16277120964908673</v>
      </c>
      <c r="D2159" s="10">
        <f t="shared" si="87"/>
        <v>12.422088888888844</v>
      </c>
      <c r="E2159" s="13">
        <v>77.8</v>
      </c>
      <c r="F2159" s="10">
        <f>AVERAGE($E$1829:E2159)</f>
        <v>84.755135951661629</v>
      </c>
      <c r="G2159" s="44">
        <v>0.18099999999999999</v>
      </c>
      <c r="H2159" s="10">
        <f t="shared" si="83"/>
        <v>14.081799999999999</v>
      </c>
      <c r="I2159" s="11">
        <v>1056</v>
      </c>
      <c r="J2159" s="11">
        <v>-2000</v>
      </c>
      <c r="K2159" s="11">
        <v>-658</v>
      </c>
      <c r="L2159" s="11">
        <f t="shared" si="81"/>
        <v>-2658</v>
      </c>
      <c r="M2159" s="11">
        <f t="shared" si="84"/>
        <v>-1602</v>
      </c>
    </row>
    <row r="2160" spans="1:13">
      <c r="A2160" s="7">
        <v>45989</v>
      </c>
      <c r="B2160" s="8">
        <f t="shared" si="85"/>
        <v>76.250137741045663</v>
      </c>
      <c r="C2160" s="9">
        <f t="shared" si="86"/>
        <v>0.1623294699673897</v>
      </c>
      <c r="D2160" s="10">
        <f t="shared" si="87"/>
        <v>12.3776444444444</v>
      </c>
      <c r="E2160" s="13">
        <v>77.599999999999994</v>
      </c>
      <c r="F2160" s="10">
        <f>AVERAGE($E$1829:E2160)</f>
        <v>84.733584337349384</v>
      </c>
      <c r="G2160" s="44">
        <v>0.18</v>
      </c>
      <c r="H2160" s="10">
        <f t="shared" si="83"/>
        <v>13.967999999999998</v>
      </c>
      <c r="I2160" s="11">
        <v>1853</v>
      </c>
      <c r="J2160" s="11">
        <v>-2000</v>
      </c>
      <c r="K2160" s="11">
        <v>-956</v>
      </c>
      <c r="L2160" s="11">
        <f t="shared" si="81"/>
        <v>-2956</v>
      </c>
      <c r="M2160" s="11">
        <f t="shared" si="84"/>
        <v>-1103</v>
      </c>
    </row>
    <row r="2161" spans="1:13">
      <c r="A2161" s="7">
        <v>45990</v>
      </c>
      <c r="B2161" s="8">
        <f t="shared" si="85"/>
        <v>76.184022038566326</v>
      </c>
      <c r="C2161" s="9">
        <f t="shared" si="86"/>
        <v>0.1618869635650973</v>
      </c>
      <c r="D2161" s="10">
        <f t="shared" si="87"/>
        <v>12.333199999999955</v>
      </c>
      <c r="E2161" s="13">
        <v>77.2</v>
      </c>
      <c r="F2161" s="10">
        <f>AVERAGE($E$1829:E2161)</f>
        <v>84.710960960960946</v>
      </c>
      <c r="G2161" s="44">
        <v>0.189</v>
      </c>
      <c r="H2161" s="10">
        <f t="shared" si="83"/>
        <v>14.5908</v>
      </c>
      <c r="I2161" s="11">
        <v>1586</v>
      </c>
      <c r="J2161" s="11">
        <v>-2000</v>
      </c>
      <c r="K2161" s="11">
        <v>-433</v>
      </c>
      <c r="L2161" s="11">
        <f t="shared" si="81"/>
        <v>-2433</v>
      </c>
      <c r="M2161" s="11">
        <f t="shared" si="84"/>
        <v>-847</v>
      </c>
    </row>
    <row r="2162" spans="1:13">
      <c r="A2162" s="7">
        <v>45991</v>
      </c>
      <c r="B2162" s="8">
        <f t="shared" si="85"/>
        <v>76.117906336086989</v>
      </c>
      <c r="C2162" s="9">
        <f t="shared" si="86"/>
        <v>0.16144368844429835</v>
      </c>
      <c r="D2162" s="10">
        <f t="shared" si="87"/>
        <v>12.288755555555511</v>
      </c>
      <c r="E2162" s="13">
        <v>77.599999999999994</v>
      </c>
      <c r="F2162" s="10">
        <f>AVERAGE($E$1829:E2162)</f>
        <v>84.689670658682616</v>
      </c>
      <c r="G2162" s="44">
        <v>0.17899999999999999</v>
      </c>
      <c r="H2162" s="10">
        <f t="shared" si="83"/>
        <v>13.890399999999998</v>
      </c>
      <c r="I2162" s="11">
        <v>2479</v>
      </c>
      <c r="J2162" s="11">
        <v>-2000</v>
      </c>
      <c r="K2162" s="11">
        <v>-475</v>
      </c>
      <c r="L2162" s="11">
        <f t="shared" si="81"/>
        <v>-2475</v>
      </c>
      <c r="M2162" s="11">
        <f t="shared" si="84"/>
        <v>4</v>
      </c>
    </row>
    <row r="2163" spans="1:13">
      <c r="A2163" s="7">
        <v>45992</v>
      </c>
      <c r="B2163" s="8">
        <f t="shared" si="85"/>
        <v>76.051790633607652</v>
      </c>
      <c r="C2163" s="9">
        <f t="shared" si="86"/>
        <v>0.16099964260013422</v>
      </c>
      <c r="D2163" s="10">
        <f t="shared" si="87"/>
        <v>12.244311111111067</v>
      </c>
      <c r="E2163" s="13">
        <v>79.400000000000006</v>
      </c>
      <c r="F2163" s="10">
        <f>AVERAGE($E$1829:E2163)</f>
        <v>84.673880597014914</v>
      </c>
      <c r="G2163" s="44">
        <v>0.17599999999999999</v>
      </c>
      <c r="H2163" s="10">
        <f t="shared" si="83"/>
        <v>13.974400000000001</v>
      </c>
      <c r="I2163" s="11">
        <v>3227</v>
      </c>
      <c r="J2163" s="11">
        <v>-2000</v>
      </c>
      <c r="K2163" s="11">
        <v>-718</v>
      </c>
      <c r="L2163" s="11">
        <f t="shared" si="81"/>
        <v>-2718</v>
      </c>
      <c r="M2163" s="11">
        <f t="shared" si="84"/>
        <v>509</v>
      </c>
    </row>
    <row r="2164" spans="1:13">
      <c r="A2164" s="7">
        <v>45993</v>
      </c>
      <c r="B2164" s="8">
        <f t="shared" si="85"/>
        <v>75.985674931128315</v>
      </c>
      <c r="C2164" s="9">
        <f t="shared" si="86"/>
        <v>0.16055482402076843</v>
      </c>
      <c r="D2164" s="10">
        <f t="shared" si="87"/>
        <v>12.199866666666622</v>
      </c>
      <c r="E2164" s="13">
        <v>79.900000000000006</v>
      </c>
      <c r="F2164" s="10">
        <f>AVERAGE($E$1829:E2164)</f>
        <v>84.659672619047612</v>
      </c>
      <c r="G2164" s="44">
        <v>0.17499999999999999</v>
      </c>
      <c r="H2164" s="10">
        <f t="shared" si="83"/>
        <v>13.9825</v>
      </c>
      <c r="I2164" s="11">
        <v>2288</v>
      </c>
      <c r="J2164" s="11">
        <v>-2000</v>
      </c>
      <c r="K2164" s="11">
        <v>-503</v>
      </c>
      <c r="L2164" s="11">
        <f t="shared" si="81"/>
        <v>-2503</v>
      </c>
      <c r="M2164" s="11">
        <f t="shared" si="84"/>
        <v>-215</v>
      </c>
    </row>
    <row r="2165" spans="1:13">
      <c r="A2165" s="7">
        <v>45994</v>
      </c>
      <c r="B2165" s="8">
        <f t="shared" si="85"/>
        <v>75.919559228648978</v>
      </c>
      <c r="C2165" s="9">
        <f t="shared" si="86"/>
        <v>0.16010923068735641</v>
      </c>
      <c r="D2165" s="10">
        <f t="shared" si="87"/>
        <v>12.155422222222178</v>
      </c>
      <c r="E2165" s="13">
        <v>78.900000000000006</v>
      </c>
      <c r="F2165" s="10">
        <f>AVERAGE($E$1829:E2165)</f>
        <v>84.64258160237388</v>
      </c>
      <c r="G2165" s="44">
        <v>0.17699999999999999</v>
      </c>
      <c r="H2165" s="10">
        <f t="shared" si="83"/>
        <v>13.965300000000001</v>
      </c>
      <c r="I2165" s="11">
        <v>2269</v>
      </c>
      <c r="J2165" s="11">
        <v>-2000</v>
      </c>
      <c r="K2165" s="11">
        <v>-825</v>
      </c>
      <c r="L2165" s="11">
        <f t="shared" si="81"/>
        <v>-2825</v>
      </c>
      <c r="M2165" s="11">
        <f t="shared" si="84"/>
        <v>-556</v>
      </c>
    </row>
    <row r="2166" spans="1:13">
      <c r="A2166" s="7">
        <v>45995</v>
      </c>
      <c r="B2166" s="8">
        <f t="shared" si="85"/>
        <v>75.853443526169642</v>
      </c>
      <c r="C2166" s="9">
        <f t="shared" si="86"/>
        <v>0.15966286057401485</v>
      </c>
      <c r="D2166" s="10">
        <f t="shared" si="87"/>
        <v>12.110977777777734</v>
      </c>
      <c r="E2166" s="13">
        <v>79</v>
      </c>
      <c r="F2166" s="10">
        <f>AVERAGE($E$1829:E2166)</f>
        <v>84.625887573964491</v>
      </c>
      <c r="G2166" s="44">
        <v>0.17799999999999999</v>
      </c>
      <c r="H2166" s="10">
        <f t="shared" si="83"/>
        <v>14.061999999999999</v>
      </c>
      <c r="I2166" s="11">
        <v>2127</v>
      </c>
      <c r="J2166" s="11">
        <v>-2000</v>
      </c>
      <c r="K2166" s="11">
        <v>-696</v>
      </c>
      <c r="L2166" s="11">
        <f t="shared" si="81"/>
        <v>-2696</v>
      </c>
      <c r="M2166" s="11">
        <f t="shared" si="84"/>
        <v>-569</v>
      </c>
    </row>
    <row r="2167" spans="1:13">
      <c r="A2167" s="7">
        <v>45996</v>
      </c>
      <c r="B2167" s="8">
        <f t="shared" si="85"/>
        <v>75.787327823690305</v>
      </c>
      <c r="C2167" s="9">
        <f t="shared" si="86"/>
        <v>0.15921571164779108</v>
      </c>
      <c r="D2167" s="10">
        <f t="shared" si="87"/>
        <v>12.06653333333329</v>
      </c>
      <c r="E2167" s="13">
        <v>78.900000000000006</v>
      </c>
      <c r="F2167" s="10">
        <f>AVERAGE($E$1829:E2167)</f>
        <v>84.608997050147494</v>
      </c>
      <c r="G2167" s="44">
        <v>0.192</v>
      </c>
      <c r="H2167" s="10">
        <f t="shared" si="83"/>
        <v>15.148800000000001</v>
      </c>
      <c r="I2167" s="11">
        <v>2690</v>
      </c>
      <c r="J2167" s="11">
        <v>-2000</v>
      </c>
      <c r="K2167" s="11">
        <v>-651</v>
      </c>
      <c r="L2167" s="11">
        <f t="shared" si="81"/>
        <v>-2651</v>
      </c>
      <c r="M2167" s="11">
        <f t="shared" si="84"/>
        <v>39</v>
      </c>
    </row>
    <row r="2168" spans="1:13">
      <c r="A2168" s="7">
        <v>45997</v>
      </c>
      <c r="B2168" s="8">
        <f t="shared" si="85"/>
        <v>75.721212121210968</v>
      </c>
      <c r="C2168" s="9">
        <f t="shared" si="86"/>
        <v>0.15876778186863211</v>
      </c>
      <c r="D2168" s="10">
        <f t="shared" si="87"/>
        <v>12.022088888888845</v>
      </c>
      <c r="E2168" s="13">
        <v>79.3</v>
      </c>
      <c r="F2168" s="10">
        <f>AVERAGE($E$1829:E2168)</f>
        <v>84.593382352941177</v>
      </c>
      <c r="G2168" s="44">
        <v>0.188</v>
      </c>
      <c r="H2168" s="10">
        <f t="shared" si="83"/>
        <v>14.9084</v>
      </c>
      <c r="I2168" s="11">
        <v>2214</v>
      </c>
      <c r="J2168" s="11">
        <v>-2000</v>
      </c>
      <c r="K2168" s="11">
        <v>-581</v>
      </c>
      <c r="L2168" s="11">
        <f t="shared" si="81"/>
        <v>-2581</v>
      </c>
      <c r="M2168" s="11">
        <f t="shared" si="84"/>
        <v>-367</v>
      </c>
    </row>
    <row r="2169" spans="1:13">
      <c r="A2169" s="7">
        <v>45998</v>
      </c>
      <c r="B2169" s="8">
        <f t="shared" si="85"/>
        <v>75.655096418731631</v>
      </c>
      <c r="C2169" s="9">
        <f t="shared" si="86"/>
        <v>0.15831906918935373</v>
      </c>
      <c r="D2169" s="10">
        <f t="shared" si="87"/>
        <v>11.977644444444401</v>
      </c>
      <c r="E2169" s="13">
        <v>79.7</v>
      </c>
      <c r="F2169" s="10">
        <f>AVERAGE($E$1829:E2169)</f>
        <v>84.579032258064515</v>
      </c>
      <c r="G2169" s="44">
        <v>0.182</v>
      </c>
      <c r="H2169" s="10">
        <f t="shared" si="83"/>
        <v>14.5054</v>
      </c>
      <c r="I2169" s="11">
        <v>1982</v>
      </c>
      <c r="J2169" s="11">
        <v>-2000</v>
      </c>
      <c r="K2169" s="11">
        <v>-532</v>
      </c>
      <c r="L2169" s="11">
        <f t="shared" ref="L2169:L2208" si="88">SUM(J2169:K2169)</f>
        <v>-2532</v>
      </c>
      <c r="M2169" s="11">
        <f t="shared" si="84"/>
        <v>-550</v>
      </c>
    </row>
    <row r="2170" spans="1:13">
      <c r="A2170" s="7">
        <v>45999</v>
      </c>
      <c r="B2170" s="8">
        <f t="shared" si="85"/>
        <v>75.588980716252294</v>
      </c>
      <c r="C2170" s="9">
        <f t="shared" si="86"/>
        <v>0.15875329824919698</v>
      </c>
      <c r="D2170" s="10">
        <v>12</v>
      </c>
      <c r="E2170" s="13">
        <v>80.8</v>
      </c>
      <c r="F2170" s="10">
        <f>AVERAGE($E$1829:E2170)</f>
        <v>84.567982456140356</v>
      </c>
      <c r="G2170" s="44">
        <v>0.182</v>
      </c>
      <c r="H2170" s="10">
        <f t="shared" si="83"/>
        <v>14.705599999999999</v>
      </c>
      <c r="I2170" s="11">
        <v>1579</v>
      </c>
      <c r="J2170" s="11">
        <v>-2000</v>
      </c>
      <c r="K2170" s="11">
        <v>-874</v>
      </c>
      <c r="L2170" s="11">
        <f t="shared" si="88"/>
        <v>-2874</v>
      </c>
      <c r="M2170" s="11">
        <f t="shared" si="84"/>
        <v>-1295</v>
      </c>
    </row>
    <row r="2171" spans="1:13">
      <c r="A2171" s="7">
        <v>46000</v>
      </c>
      <c r="B2171" s="8">
        <f t="shared" si="85"/>
        <v>75.522865013772957</v>
      </c>
      <c r="C2171" s="9">
        <f t="shared" si="86"/>
        <v>0.15889227716416193</v>
      </c>
      <c r="D2171" s="10">
        <v>12</v>
      </c>
      <c r="E2171" s="13">
        <v>79.8</v>
      </c>
      <c r="F2171" s="10">
        <f>AVERAGE($E$1829:E2171)</f>
        <v>84.554081632653066</v>
      </c>
      <c r="G2171" s="44">
        <v>0.182</v>
      </c>
      <c r="H2171" s="10">
        <f t="shared" si="83"/>
        <v>14.523599999999998</v>
      </c>
      <c r="I2171" s="11">
        <v>1085</v>
      </c>
      <c r="J2171" s="11">
        <v>-2000</v>
      </c>
      <c r="K2171" s="11">
        <v>-504</v>
      </c>
      <c r="L2171" s="11">
        <f t="shared" si="88"/>
        <v>-2504</v>
      </c>
      <c r="M2171" s="11">
        <f t="shared" si="84"/>
        <v>-1419</v>
      </c>
    </row>
    <row r="2172" spans="1:13">
      <c r="A2172" s="7">
        <v>46001</v>
      </c>
      <c r="B2172" s="8">
        <f t="shared" si="85"/>
        <v>75.456749311293621</v>
      </c>
      <c r="C2172" s="9">
        <f t="shared" si="86"/>
        <v>0.15903149962761459</v>
      </c>
      <c r="D2172" s="10">
        <v>12</v>
      </c>
      <c r="E2172" s="13">
        <v>79.599999999999994</v>
      </c>
      <c r="F2172" s="10">
        <f>AVERAGE($E$1829:E2172)</f>
        <v>84.539680232558126</v>
      </c>
      <c r="G2172" s="44">
        <v>0.185</v>
      </c>
      <c r="H2172" s="10">
        <f t="shared" si="83"/>
        <v>14.725999999999999</v>
      </c>
      <c r="I2172" s="11">
        <v>1903</v>
      </c>
      <c r="J2172" s="11">
        <v>-2000</v>
      </c>
      <c r="K2172" s="11">
        <v>-586</v>
      </c>
      <c r="L2172" s="11">
        <f t="shared" si="88"/>
        <v>-2586</v>
      </c>
      <c r="M2172" s="11">
        <f t="shared" si="84"/>
        <v>-683</v>
      </c>
    </row>
    <row r="2173" spans="1:13">
      <c r="A2173" s="7">
        <v>46002</v>
      </c>
      <c r="B2173" s="8">
        <f t="shared" si="85"/>
        <v>75.390633608814284</v>
      </c>
      <c r="C2173" s="9">
        <f t="shared" si="86"/>
        <v>0.15917096628031285</v>
      </c>
      <c r="D2173" s="10">
        <v>12</v>
      </c>
      <c r="E2173" s="13">
        <v>80.2</v>
      </c>
      <c r="F2173" s="10">
        <f>AVERAGE($E$1829:E2173)</f>
        <v>84.527101449275364</v>
      </c>
      <c r="G2173" s="44">
        <v>0.189</v>
      </c>
      <c r="H2173" s="10">
        <f t="shared" si="83"/>
        <v>15.1578</v>
      </c>
      <c r="I2173" s="11">
        <v>2592</v>
      </c>
      <c r="J2173" s="11">
        <v>-2000</v>
      </c>
      <c r="K2173" s="11">
        <v>-690</v>
      </c>
      <c r="L2173" s="11">
        <f t="shared" si="88"/>
        <v>-2690</v>
      </c>
      <c r="M2173" s="11">
        <f t="shared" si="84"/>
        <v>-98</v>
      </c>
    </row>
    <row r="2174" spans="1:13">
      <c r="A2174" s="7">
        <v>46003</v>
      </c>
      <c r="B2174" s="8">
        <f t="shared" si="85"/>
        <v>75.324517906334947</v>
      </c>
      <c r="C2174" s="9">
        <f t="shared" si="86"/>
        <v>0.1593106777652642</v>
      </c>
      <c r="D2174" s="10">
        <v>12</v>
      </c>
      <c r="E2174" s="13">
        <v>80</v>
      </c>
      <c r="F2174" s="10">
        <f>AVERAGE($E$1829:E2174)</f>
        <v>84.514017341040457</v>
      </c>
      <c r="G2174" s="44">
        <v>0.189</v>
      </c>
      <c r="H2174" s="10">
        <f t="shared" ref="H2174:H2208" si="89">IF(E2174="","",G2174*E2174)</f>
        <v>15.120000000000001</v>
      </c>
      <c r="I2174" s="11">
        <v>1988</v>
      </c>
      <c r="J2174" s="11">
        <v>-2000</v>
      </c>
      <c r="K2174" s="11">
        <v>-388</v>
      </c>
      <c r="L2174" s="11">
        <f t="shared" si="88"/>
        <v>-2388</v>
      </c>
      <c r="M2174" s="11">
        <f t="shared" si="84"/>
        <v>-400</v>
      </c>
    </row>
    <row r="2175" spans="1:13">
      <c r="A2175" s="7">
        <v>46004</v>
      </c>
      <c r="B2175" s="8">
        <f t="shared" si="85"/>
        <v>75.25840220385561</v>
      </c>
      <c r="C2175" s="9">
        <f t="shared" si="86"/>
        <v>0.15945063472773569</v>
      </c>
      <c r="D2175" s="10">
        <v>12</v>
      </c>
      <c r="E2175" s="13">
        <v>79.7</v>
      </c>
      <c r="F2175" s="10">
        <f>AVERAGE($E$1829:E2175)</f>
        <v>84.500144092219017</v>
      </c>
      <c r="G2175" s="44">
        <v>0.19700000000000001</v>
      </c>
      <c r="H2175" s="10">
        <f t="shared" si="89"/>
        <v>15.700900000000001</v>
      </c>
      <c r="I2175" s="11">
        <v>2781</v>
      </c>
      <c r="J2175" s="11">
        <v>-2000</v>
      </c>
      <c r="K2175" s="11">
        <v>-365</v>
      </c>
      <c r="L2175" s="11">
        <f t="shared" si="88"/>
        <v>-2365</v>
      </c>
      <c r="M2175" s="11">
        <f t="shared" si="84"/>
        <v>416</v>
      </c>
    </row>
    <row r="2176" spans="1:13">
      <c r="A2176" s="7">
        <v>46005</v>
      </c>
      <c r="B2176" s="8">
        <f t="shared" si="85"/>
        <v>75.192286501376273</v>
      </c>
      <c r="C2176" s="9">
        <f t="shared" si="86"/>
        <v>0.15959083781526393</v>
      </c>
      <c r="D2176" s="10">
        <v>12</v>
      </c>
      <c r="E2176" s="13">
        <v>79.5</v>
      </c>
      <c r="F2176" s="10">
        <f>AVERAGE($E$1829:E2176)</f>
        <v>84.485775862068962</v>
      </c>
      <c r="G2176" s="44">
        <v>0.19900000000000001</v>
      </c>
      <c r="H2176" s="10">
        <f t="shared" si="89"/>
        <v>15.820500000000001</v>
      </c>
      <c r="I2176" s="11">
        <v>2175</v>
      </c>
      <c r="J2176" s="11">
        <v>-2000</v>
      </c>
      <c r="K2176" s="11">
        <v>-444</v>
      </c>
      <c r="L2176" s="11">
        <f t="shared" si="88"/>
        <v>-2444</v>
      </c>
      <c r="M2176" s="11">
        <f t="shared" si="84"/>
        <v>-269</v>
      </c>
    </row>
    <row r="2177" spans="1:13">
      <c r="A2177" s="7">
        <v>46006</v>
      </c>
      <c r="B2177" s="8">
        <f t="shared" si="85"/>
        <v>75.126170798896936</v>
      </c>
      <c r="C2177" s="9">
        <f t="shared" si="86"/>
        <v>0.15973128767766498</v>
      </c>
      <c r="D2177" s="10">
        <v>12</v>
      </c>
      <c r="E2177" s="13">
        <v>80</v>
      </c>
      <c r="F2177" s="10">
        <f>AVERAGE($E$1829:E2177)</f>
        <v>84.472922636103149</v>
      </c>
      <c r="G2177" s="44">
        <v>0.19800000000000001</v>
      </c>
      <c r="H2177" s="10">
        <f t="shared" si="89"/>
        <v>15.84</v>
      </c>
      <c r="I2177" s="11">
        <v>2362</v>
      </c>
      <c r="J2177" s="11">
        <v>-2000</v>
      </c>
      <c r="K2177" s="11">
        <v>-603</v>
      </c>
      <c r="L2177" s="11">
        <f t="shared" si="88"/>
        <v>-2603</v>
      </c>
      <c r="M2177" s="11">
        <f t="shared" si="84"/>
        <v>-241</v>
      </c>
    </row>
    <row r="2178" spans="1:13">
      <c r="A2178" s="7">
        <v>46007</v>
      </c>
      <c r="B2178" s="8">
        <f t="shared" si="85"/>
        <v>75.060055096417599</v>
      </c>
      <c r="C2178" s="9">
        <f t="shared" si="86"/>
        <v>0.15987198496704441</v>
      </c>
      <c r="D2178" s="10">
        <v>12</v>
      </c>
      <c r="E2178" s="13">
        <v>79.400000000000006</v>
      </c>
      <c r="F2178" s="10">
        <f>AVERAGE($E$1829:E2178)</f>
        <v>84.45842857142857</v>
      </c>
      <c r="G2178" s="44">
        <v>0.19400000000000001</v>
      </c>
      <c r="H2178" s="10">
        <f t="shared" si="89"/>
        <v>15.403600000000001</v>
      </c>
      <c r="I2178" s="11">
        <v>2203</v>
      </c>
      <c r="J2178" s="11">
        <v>-2000</v>
      </c>
      <c r="K2178" s="11">
        <v>-461</v>
      </c>
      <c r="L2178" s="11">
        <f t="shared" si="88"/>
        <v>-2461</v>
      </c>
      <c r="M2178" s="11">
        <f t="shared" si="84"/>
        <v>-258</v>
      </c>
    </row>
    <row r="2179" spans="1:13">
      <c r="A2179" s="7">
        <v>46008</v>
      </c>
      <c r="B2179" s="8">
        <f t="shared" si="85"/>
        <v>74.993939393938263</v>
      </c>
      <c r="C2179" s="9">
        <f t="shared" si="86"/>
        <v>0.1600129303378075</v>
      </c>
      <c r="D2179" s="10">
        <v>12</v>
      </c>
      <c r="E2179" s="13">
        <v>78.3</v>
      </c>
      <c r="F2179" s="10">
        <f>AVERAGE($E$1829:E2179)</f>
        <v>84.440883190883184</v>
      </c>
      <c r="G2179" s="44">
        <v>0.188</v>
      </c>
      <c r="H2179" s="10">
        <f t="shared" si="89"/>
        <v>14.7204</v>
      </c>
      <c r="I2179" s="11">
        <v>2891</v>
      </c>
      <c r="J2179" s="11">
        <v>-2000</v>
      </c>
      <c r="K2179" s="11">
        <v>-938</v>
      </c>
      <c r="L2179" s="11">
        <f t="shared" si="88"/>
        <v>-2938</v>
      </c>
      <c r="M2179" s="11">
        <f t="shared" si="84"/>
        <v>-47</v>
      </c>
    </row>
    <row r="2180" spans="1:13">
      <c r="A2180" s="7">
        <v>46009</v>
      </c>
      <c r="B2180" s="8">
        <v>75</v>
      </c>
      <c r="C2180" s="9">
        <f t="shared" si="86"/>
        <v>0.16</v>
      </c>
      <c r="D2180" s="10">
        <v>12</v>
      </c>
      <c r="E2180" s="13">
        <v>79.900000000000006</v>
      </c>
      <c r="F2180" s="10">
        <f>AVERAGE($E$1829:E2180)</f>
        <v>84.427982954545456</v>
      </c>
      <c r="G2180" s="44">
        <v>0.183</v>
      </c>
      <c r="H2180" s="10">
        <f t="shared" si="89"/>
        <v>14.621700000000001</v>
      </c>
      <c r="I2180" s="11">
        <v>2079</v>
      </c>
      <c r="J2180" s="11">
        <v>-2000</v>
      </c>
      <c r="K2180" s="11">
        <v>-575</v>
      </c>
      <c r="L2180" s="11">
        <f t="shared" si="88"/>
        <v>-2575</v>
      </c>
      <c r="M2180" s="11">
        <f t="shared" ref="M2180:M2210" si="90">I2180+J2180+K2180</f>
        <v>-496</v>
      </c>
    </row>
    <row r="2181" spans="1:13">
      <c r="A2181" s="7">
        <v>46010</v>
      </c>
      <c r="B2181" s="8">
        <v>75</v>
      </c>
      <c r="C2181" s="9">
        <f t="shared" si="86"/>
        <v>0.16</v>
      </c>
      <c r="D2181" s="10">
        <v>12</v>
      </c>
      <c r="E2181" s="13">
        <v>80</v>
      </c>
      <c r="F2181" s="10">
        <f>AVERAGE($E$1829:E2181)</f>
        <v>84.415439093484423</v>
      </c>
      <c r="G2181" s="44">
        <v>0.192</v>
      </c>
      <c r="H2181" s="10">
        <f t="shared" si="89"/>
        <v>15.36</v>
      </c>
      <c r="I2181" s="11">
        <v>2768</v>
      </c>
      <c r="J2181" s="11">
        <v>-2000</v>
      </c>
      <c r="K2181" s="11">
        <v>-858</v>
      </c>
      <c r="L2181" s="11">
        <f t="shared" si="88"/>
        <v>-2858</v>
      </c>
      <c r="M2181" s="11">
        <f t="shared" si="90"/>
        <v>-90</v>
      </c>
    </row>
    <row r="2182" spans="1:13">
      <c r="A2182" s="7">
        <v>46011</v>
      </c>
      <c r="B2182" s="8">
        <v>75</v>
      </c>
      <c r="C2182" s="9">
        <f t="shared" si="86"/>
        <v>0.16</v>
      </c>
      <c r="D2182" s="10">
        <v>12</v>
      </c>
      <c r="E2182" s="13">
        <v>79.599999999999994</v>
      </c>
      <c r="F2182" s="10">
        <f>AVERAGE($E$1829:E2182)</f>
        <v>84.401836158192097</v>
      </c>
      <c r="G2182" s="44">
        <v>0.19800000000000001</v>
      </c>
      <c r="H2182" s="10">
        <f t="shared" si="89"/>
        <v>15.7608</v>
      </c>
      <c r="I2182" s="11">
        <v>2784</v>
      </c>
      <c r="J2182" s="11">
        <v>-2000</v>
      </c>
      <c r="K2182" s="11">
        <v>-576</v>
      </c>
      <c r="L2182" s="11">
        <f t="shared" si="88"/>
        <v>-2576</v>
      </c>
      <c r="M2182" s="11">
        <f t="shared" si="90"/>
        <v>208</v>
      </c>
    </row>
    <row r="2183" spans="1:13">
      <c r="A2183" s="7">
        <v>46012</v>
      </c>
      <c r="B2183" s="8">
        <v>75</v>
      </c>
      <c r="C2183" s="9">
        <f t="shared" si="86"/>
        <v>0.16</v>
      </c>
      <c r="D2183" s="10">
        <v>12</v>
      </c>
      <c r="E2183" s="13">
        <v>81.099999999999994</v>
      </c>
      <c r="F2183" s="10">
        <f>AVERAGE($E$1829:E2183)</f>
        <v>84.392535211267599</v>
      </c>
      <c r="G2183" s="44">
        <v>0.19500000000000001</v>
      </c>
      <c r="H2183" s="10">
        <f t="shared" si="89"/>
        <v>15.814499999999999</v>
      </c>
      <c r="I2183" s="11">
        <v>1568</v>
      </c>
      <c r="J2183" s="11">
        <v>-2000</v>
      </c>
      <c r="K2183" s="11">
        <v>-770</v>
      </c>
      <c r="L2183" s="11">
        <f t="shared" si="88"/>
        <v>-2770</v>
      </c>
      <c r="M2183" s="11">
        <f t="shared" si="90"/>
        <v>-1202</v>
      </c>
    </row>
    <row r="2184" spans="1:13">
      <c r="A2184" s="7">
        <v>46013</v>
      </c>
      <c r="B2184" s="8">
        <v>75</v>
      </c>
      <c r="C2184" s="9">
        <f t="shared" si="86"/>
        <v>0.16</v>
      </c>
      <c r="D2184" s="10">
        <v>12</v>
      </c>
      <c r="E2184" s="13">
        <v>81.7</v>
      </c>
      <c r="F2184" s="10">
        <f>AVERAGE($E$1829:E2184)</f>
        <v>84.384971910112355</v>
      </c>
      <c r="G2184" s="44">
        <v>0.187</v>
      </c>
      <c r="H2184" s="10">
        <f t="shared" si="89"/>
        <v>15.277900000000001</v>
      </c>
      <c r="I2184" s="11">
        <v>2126</v>
      </c>
      <c r="J2184" s="11">
        <v>-2000</v>
      </c>
      <c r="K2184" s="11">
        <v>-813</v>
      </c>
      <c r="L2184" s="11">
        <f t="shared" si="88"/>
        <v>-2813</v>
      </c>
      <c r="M2184" s="11">
        <f t="shared" si="90"/>
        <v>-687</v>
      </c>
    </row>
    <row r="2185" spans="1:13">
      <c r="A2185" s="7">
        <v>46014</v>
      </c>
      <c r="B2185" s="8">
        <v>75</v>
      </c>
      <c r="C2185" s="9">
        <f t="shared" si="86"/>
        <v>0.16</v>
      </c>
      <c r="D2185" s="10">
        <v>12</v>
      </c>
      <c r="E2185" s="13">
        <v>81.2</v>
      </c>
      <c r="F2185" s="10">
        <f>AVERAGE($E$1829:E2185)</f>
        <v>84.37605042016807</v>
      </c>
      <c r="G2185" s="44">
        <v>0.186</v>
      </c>
      <c r="H2185" s="10">
        <f t="shared" si="89"/>
        <v>15.103200000000001</v>
      </c>
      <c r="I2185" s="11">
        <v>1415</v>
      </c>
      <c r="J2185" s="11">
        <v>-2000</v>
      </c>
      <c r="K2185" s="11">
        <v>-964</v>
      </c>
      <c r="L2185" s="11">
        <f t="shared" si="88"/>
        <v>-2964</v>
      </c>
      <c r="M2185" s="11">
        <f t="shared" si="90"/>
        <v>-1549</v>
      </c>
    </row>
    <row r="2186" spans="1:13">
      <c r="A2186" s="7">
        <v>46015</v>
      </c>
      <c r="B2186" s="8">
        <v>75</v>
      </c>
      <c r="C2186" s="9">
        <f t="shared" si="86"/>
        <v>0.16</v>
      </c>
      <c r="D2186" s="10">
        <v>12</v>
      </c>
      <c r="E2186" s="13">
        <v>79.7</v>
      </c>
      <c r="F2186" s="10">
        <f>AVERAGE($E$1829:E2186)</f>
        <v>84.362988826815638</v>
      </c>
      <c r="G2186" s="44">
        <v>0.19800000000000001</v>
      </c>
      <c r="H2186" s="10">
        <f t="shared" si="89"/>
        <v>15.780600000000002</v>
      </c>
      <c r="I2186" s="11">
        <v>3500</v>
      </c>
      <c r="J2186" s="11">
        <v>-2000</v>
      </c>
      <c r="K2186" s="11">
        <v>-500</v>
      </c>
      <c r="L2186" s="11">
        <f t="shared" si="88"/>
        <v>-2500</v>
      </c>
      <c r="M2186" s="11">
        <f t="shared" si="90"/>
        <v>1000</v>
      </c>
    </row>
    <row r="2187" spans="1:13">
      <c r="A2187" s="7">
        <v>46016</v>
      </c>
      <c r="B2187" s="8">
        <v>75</v>
      </c>
      <c r="C2187" s="9">
        <f t="shared" si="86"/>
        <v>0.16</v>
      </c>
      <c r="D2187" s="10">
        <v>12</v>
      </c>
      <c r="E2187" s="13">
        <v>81.599999999999994</v>
      </c>
      <c r="F2187" s="10">
        <f>AVERAGE($E$1829:E2187)</f>
        <v>84.355292479108627</v>
      </c>
      <c r="G2187" s="44">
        <v>0.20100000000000001</v>
      </c>
      <c r="H2187" s="10">
        <f t="shared" si="89"/>
        <v>16.401599999999998</v>
      </c>
      <c r="I2187" s="11">
        <v>3500</v>
      </c>
      <c r="J2187" s="11">
        <v>-2000</v>
      </c>
      <c r="K2187" s="11">
        <v>-500</v>
      </c>
      <c r="L2187" s="11">
        <f t="shared" si="88"/>
        <v>-2500</v>
      </c>
      <c r="M2187" s="11">
        <f t="shared" si="90"/>
        <v>1000</v>
      </c>
    </row>
    <row r="2188" spans="1:13">
      <c r="A2188" s="7">
        <v>46017</v>
      </c>
      <c r="B2188" s="8">
        <v>75</v>
      </c>
      <c r="C2188" s="9">
        <f t="shared" si="86"/>
        <v>0.16</v>
      </c>
      <c r="D2188" s="10">
        <v>12</v>
      </c>
      <c r="E2188" s="13">
        <v>82.2</v>
      </c>
      <c r="F2188" s="10">
        <f>AVERAGE($E$1829:E2188)</f>
        <v>84.34930555555556</v>
      </c>
      <c r="G2188" s="44">
        <v>0.2</v>
      </c>
      <c r="H2188" s="10">
        <f t="shared" si="89"/>
        <v>16.440000000000001</v>
      </c>
      <c r="I2188" s="11">
        <v>4000</v>
      </c>
      <c r="J2188" s="11">
        <v>-2000</v>
      </c>
      <c r="K2188" s="11">
        <v>-500</v>
      </c>
      <c r="L2188" s="11">
        <f t="shared" si="88"/>
        <v>-2500</v>
      </c>
      <c r="M2188" s="11">
        <f t="shared" si="90"/>
        <v>1500</v>
      </c>
    </row>
    <row r="2189" spans="1:13">
      <c r="A2189" s="7">
        <v>46018</v>
      </c>
      <c r="B2189" s="8">
        <v>75</v>
      </c>
      <c r="C2189" s="9">
        <f t="shared" si="86"/>
        <v>0.16</v>
      </c>
      <c r="D2189" s="10">
        <v>12</v>
      </c>
      <c r="E2189" s="13">
        <v>81.7</v>
      </c>
      <c r="F2189" s="10">
        <f>AVERAGE($E$1829:E2189)</f>
        <v>84.341966759002773</v>
      </c>
      <c r="G2189" s="44">
        <v>0.20799999999999999</v>
      </c>
      <c r="H2189" s="10">
        <f t="shared" si="89"/>
        <v>16.993600000000001</v>
      </c>
      <c r="I2189" s="11">
        <v>4000</v>
      </c>
      <c r="J2189" s="11">
        <v>-2000</v>
      </c>
      <c r="K2189" s="11">
        <v>-500</v>
      </c>
      <c r="L2189" s="11">
        <f t="shared" si="88"/>
        <v>-2500</v>
      </c>
      <c r="M2189" s="11">
        <f t="shared" si="90"/>
        <v>1500</v>
      </c>
    </row>
    <row r="2190" spans="1:13">
      <c r="A2190" s="7">
        <v>46019</v>
      </c>
      <c r="B2190" s="8">
        <v>75</v>
      </c>
      <c r="C2190" s="9">
        <f t="shared" si="86"/>
        <v>0.16</v>
      </c>
      <c r="D2190" s="10">
        <v>12</v>
      </c>
      <c r="E2190" s="13">
        <v>83</v>
      </c>
      <c r="F2190" s="10">
        <f>AVERAGE($E$1829:E2190)</f>
        <v>84.338259668508286</v>
      </c>
      <c r="G2190" s="44">
        <v>0.20799999999999999</v>
      </c>
      <c r="H2190" s="10">
        <f t="shared" si="89"/>
        <v>17.263999999999999</v>
      </c>
      <c r="I2190" s="11">
        <v>4000</v>
      </c>
      <c r="J2190" s="11">
        <v>-2000</v>
      </c>
      <c r="K2190" s="11">
        <v>-500</v>
      </c>
      <c r="L2190" s="11">
        <f t="shared" si="88"/>
        <v>-2500</v>
      </c>
      <c r="M2190" s="11">
        <f t="shared" si="90"/>
        <v>1500</v>
      </c>
    </row>
    <row r="2191" spans="1:13">
      <c r="A2191" s="7">
        <v>46020</v>
      </c>
      <c r="B2191" s="8">
        <v>75</v>
      </c>
      <c r="C2191" s="9">
        <f t="shared" si="86"/>
        <v>0.16</v>
      </c>
      <c r="D2191" s="10">
        <v>12</v>
      </c>
      <c r="E2191" s="13">
        <v>82.6</v>
      </c>
      <c r="F2191" s="10">
        <f>AVERAGE($E$1829:E2191)</f>
        <v>84.333471074380157</v>
      </c>
      <c r="G2191" s="44">
        <v>0.19700000000000001</v>
      </c>
      <c r="H2191" s="10">
        <f t="shared" si="89"/>
        <v>16.272199999999998</v>
      </c>
      <c r="I2191" s="11">
        <v>1501</v>
      </c>
      <c r="J2191" s="11">
        <v>-2000</v>
      </c>
      <c r="K2191" s="11">
        <v>-508</v>
      </c>
      <c r="L2191" s="11">
        <f t="shared" si="88"/>
        <v>-2508</v>
      </c>
      <c r="M2191" s="11">
        <f t="shared" si="90"/>
        <v>-1007</v>
      </c>
    </row>
    <row r="2192" spans="1:13">
      <c r="A2192" s="7">
        <v>46021</v>
      </c>
      <c r="B2192" s="8">
        <v>75</v>
      </c>
      <c r="C2192" s="9">
        <f t="shared" si="86"/>
        <v>0.16</v>
      </c>
      <c r="D2192" s="10">
        <v>12</v>
      </c>
      <c r="E2192" s="13">
        <v>81.2</v>
      </c>
      <c r="F2192" s="10">
        <f>AVERAGE($E$1829:E2192)</f>
        <v>84.324862637362642</v>
      </c>
      <c r="G2192" s="44">
        <v>0.19500000000000001</v>
      </c>
      <c r="H2192" s="10">
        <f t="shared" si="89"/>
        <v>15.834000000000001</v>
      </c>
      <c r="I2192" s="11">
        <v>1964</v>
      </c>
      <c r="J2192" s="11">
        <v>-2000</v>
      </c>
      <c r="K2192" s="11">
        <v>-764</v>
      </c>
      <c r="L2192" s="11">
        <f t="shared" si="88"/>
        <v>-2764</v>
      </c>
      <c r="M2192" s="11">
        <f t="shared" si="90"/>
        <v>-800</v>
      </c>
    </row>
    <row r="2193" spans="1:16" ht="15" thickBot="1">
      <c r="A2193" s="14">
        <v>46022</v>
      </c>
      <c r="B2193" s="27">
        <v>75</v>
      </c>
      <c r="C2193" s="15">
        <f t="shared" si="86"/>
        <v>0.16</v>
      </c>
      <c r="D2193" s="16">
        <v>12</v>
      </c>
      <c r="E2193" s="17">
        <v>82</v>
      </c>
      <c r="F2193" s="16">
        <f>AVERAGE($E$1829:E2193)</f>
        <v>84.31849315068493</v>
      </c>
      <c r="G2193" s="81">
        <v>0.19500000000000001</v>
      </c>
      <c r="H2193" s="16">
        <f t="shared" si="89"/>
        <v>15.99</v>
      </c>
      <c r="I2193" s="18">
        <v>4000</v>
      </c>
      <c r="J2193" s="18">
        <v>-2000</v>
      </c>
      <c r="K2193" s="18">
        <v>-494</v>
      </c>
      <c r="L2193" s="18">
        <f t="shared" si="88"/>
        <v>-2494</v>
      </c>
      <c r="M2193" s="18">
        <f t="shared" si="90"/>
        <v>1506</v>
      </c>
      <c r="N2193" s="18"/>
      <c r="O2193" s="19"/>
      <c r="P2193" s="19"/>
    </row>
    <row r="2194" spans="1:16">
      <c r="A2194" s="7">
        <v>46023</v>
      </c>
      <c r="B2194" s="8">
        <v>82.5</v>
      </c>
      <c r="C2194" s="9">
        <f t="shared" si="86"/>
        <v>0.19393939393939394</v>
      </c>
      <c r="D2194" s="10">
        <v>16</v>
      </c>
      <c r="E2194" s="8">
        <v>84.1</v>
      </c>
      <c r="F2194" s="10">
        <f>AVERAGE($E$2194:E2194)</f>
        <v>84.1</v>
      </c>
      <c r="G2194" s="9">
        <v>0.19700000000000001</v>
      </c>
      <c r="H2194" s="10">
        <f t="shared" si="89"/>
        <v>16.567699999999999</v>
      </c>
      <c r="I2194" s="11">
        <v>4000</v>
      </c>
      <c r="J2194" s="11">
        <v>-2000</v>
      </c>
      <c r="K2194" s="11">
        <v>-538</v>
      </c>
      <c r="L2194" s="11">
        <f t="shared" si="88"/>
        <v>-2538</v>
      </c>
      <c r="M2194" s="11">
        <f t="shared" si="90"/>
        <v>1462</v>
      </c>
    </row>
    <row r="2195" spans="1:16">
      <c r="A2195" s="7">
        <v>46024</v>
      </c>
      <c r="B2195" s="8">
        <f>B2194-2.5/30</f>
        <v>82.416666666666671</v>
      </c>
      <c r="C2195" s="9">
        <f t="shared" si="86"/>
        <v>0.19359622514324232</v>
      </c>
      <c r="D2195" s="10">
        <f>D2194-4/90</f>
        <v>15.955555555555556</v>
      </c>
      <c r="E2195" s="8">
        <v>84.4</v>
      </c>
      <c r="F2195" s="10">
        <f>AVERAGE($E$2194:E2195)</f>
        <v>84.25</v>
      </c>
      <c r="G2195" s="9">
        <v>0.20200000000000001</v>
      </c>
      <c r="H2195" s="10">
        <f t="shared" si="89"/>
        <v>17.048800000000004</v>
      </c>
      <c r="I2195" s="11">
        <v>1596</v>
      </c>
      <c r="J2195" s="11">
        <v>-2000</v>
      </c>
      <c r="K2195" s="11">
        <v>-867</v>
      </c>
      <c r="L2195" s="11">
        <f t="shared" si="88"/>
        <v>-2867</v>
      </c>
      <c r="M2195" s="11">
        <f t="shared" si="90"/>
        <v>-1271</v>
      </c>
    </row>
    <row r="2196" spans="1:16">
      <c r="A2196" s="7">
        <v>46025</v>
      </c>
      <c r="B2196" s="8">
        <f t="shared" ref="B2196:B2259" si="91">B2195-2.5/30</f>
        <v>82.333333333333343</v>
      </c>
      <c r="C2196" s="9">
        <f t="shared" si="86"/>
        <v>0.19325236167341428</v>
      </c>
      <c r="D2196" s="10">
        <f t="shared" ref="D2196:D2259" si="92">D2195-4/90</f>
        <v>15.911111111111111</v>
      </c>
      <c r="E2196" s="8">
        <v>83</v>
      </c>
      <c r="F2196" s="10">
        <f>AVERAGE($E$2194:E2196)</f>
        <v>83.833333333333329</v>
      </c>
      <c r="G2196" s="9">
        <v>0.19400000000000001</v>
      </c>
      <c r="H2196" s="10">
        <f t="shared" si="89"/>
        <v>16.102</v>
      </c>
      <c r="I2196" s="11">
        <v>2972</v>
      </c>
      <c r="J2196" s="11">
        <v>-2000</v>
      </c>
      <c r="K2196" s="11">
        <v>-598</v>
      </c>
      <c r="L2196" s="11">
        <f t="shared" si="88"/>
        <v>-2598</v>
      </c>
      <c r="M2196" s="11">
        <f t="shared" si="90"/>
        <v>374</v>
      </c>
    </row>
    <row r="2197" spans="1:16" ht="15" thickBot="1">
      <c r="A2197" s="72">
        <v>46026</v>
      </c>
      <c r="B2197" s="73">
        <f t="shared" si="91"/>
        <v>82.250000000000014</v>
      </c>
      <c r="C2197" s="82">
        <f t="shared" si="86"/>
        <v>0.19290780141843969</v>
      </c>
      <c r="D2197" s="75">
        <f t="shared" si="92"/>
        <v>15.866666666666667</v>
      </c>
      <c r="E2197" s="73">
        <v>83.1</v>
      </c>
      <c r="F2197" s="75">
        <f>AVERAGE($E$2194:E2197)</f>
        <v>83.65</v>
      </c>
      <c r="G2197" s="82">
        <v>0.20399999999999999</v>
      </c>
      <c r="H2197" s="75">
        <f t="shared" si="89"/>
        <v>16.952399999999997</v>
      </c>
      <c r="I2197" s="77">
        <v>4000</v>
      </c>
      <c r="J2197" s="77">
        <v>-2000</v>
      </c>
      <c r="K2197" s="77">
        <v>-671</v>
      </c>
      <c r="L2197" s="77">
        <f t="shared" si="88"/>
        <v>-2671</v>
      </c>
      <c r="M2197" s="77">
        <f t="shared" si="90"/>
        <v>1329</v>
      </c>
      <c r="N2197" s="77"/>
      <c r="O2197" s="78"/>
      <c r="P2197" s="78"/>
    </row>
    <row r="2198" spans="1:16" ht="15" thickTop="1">
      <c r="A2198" s="7">
        <v>46027</v>
      </c>
      <c r="B2198" s="8">
        <f t="shared" si="91"/>
        <v>82.166666666666686</v>
      </c>
      <c r="C2198" s="9">
        <f t="shared" si="86"/>
        <v>0.19256254225828259</v>
      </c>
      <c r="D2198" s="10">
        <f t="shared" si="92"/>
        <v>15.822222222222223</v>
      </c>
      <c r="E2198" s="8">
        <v>83.8</v>
      </c>
      <c r="F2198" s="10">
        <f>AVERAGE($E$2194:E2198)</f>
        <v>83.68</v>
      </c>
      <c r="G2198" s="9">
        <v>0.2</v>
      </c>
      <c r="H2198" s="10">
        <f t="shared" si="89"/>
        <v>16.760000000000002</v>
      </c>
      <c r="I2198" s="11">
        <v>1441</v>
      </c>
      <c r="J2198" s="11">
        <v>-2000</v>
      </c>
      <c r="K2198" s="11">
        <v>-947</v>
      </c>
      <c r="L2198" s="11">
        <f t="shared" si="88"/>
        <v>-2947</v>
      </c>
      <c r="M2198" s="11">
        <f t="shared" si="90"/>
        <v>-1506</v>
      </c>
    </row>
    <row r="2199" spans="1:16">
      <c r="A2199" s="7">
        <v>46028</v>
      </c>
      <c r="B2199" s="8">
        <f t="shared" si="91"/>
        <v>82.083333333333357</v>
      </c>
      <c r="C2199" s="9">
        <f t="shared" si="86"/>
        <v>0.19221658206429776</v>
      </c>
      <c r="D2199" s="10">
        <f t="shared" si="92"/>
        <v>15.777777777777779</v>
      </c>
      <c r="E2199" s="13">
        <v>82.8</v>
      </c>
      <c r="F2199" s="10">
        <f>AVERAGE($E$2194:E2199)</f>
        <v>83.533333333333346</v>
      </c>
      <c r="G2199" s="44">
        <v>0.20100000000000001</v>
      </c>
      <c r="H2199" s="10">
        <f t="shared" si="89"/>
        <v>16.642800000000001</v>
      </c>
      <c r="I2199" s="11">
        <v>2251</v>
      </c>
      <c r="J2199" s="11">
        <v>-2000</v>
      </c>
      <c r="K2199" s="11">
        <v>-933</v>
      </c>
      <c r="L2199" s="11">
        <f t="shared" si="88"/>
        <v>-2933</v>
      </c>
      <c r="M2199" s="11">
        <f t="shared" si="90"/>
        <v>-682</v>
      </c>
    </row>
    <row r="2200" spans="1:16">
      <c r="A2200" s="7">
        <v>46029</v>
      </c>
      <c r="B2200" s="8">
        <f t="shared" si="91"/>
        <v>82.000000000000028</v>
      </c>
      <c r="C2200" s="9">
        <f t="shared" si="86"/>
        <v>0.19186991869918693</v>
      </c>
      <c r="D2200" s="10">
        <f t="shared" si="92"/>
        <v>15.733333333333334</v>
      </c>
      <c r="E2200" s="13">
        <v>83</v>
      </c>
      <c r="F2200" s="10">
        <f>AVERAGE($E$2194:E2200)</f>
        <v>83.45714285714287</v>
      </c>
      <c r="G2200" s="44">
        <v>0.2</v>
      </c>
      <c r="H2200" s="10">
        <f t="shared" si="89"/>
        <v>16.600000000000001</v>
      </c>
      <c r="I2200" s="29"/>
      <c r="J2200" s="11">
        <v>-2000</v>
      </c>
      <c r="K2200" s="29"/>
      <c r="L2200" s="11">
        <f t="shared" si="88"/>
        <v>-2000</v>
      </c>
      <c r="M2200" s="11">
        <f t="shared" si="90"/>
        <v>-2000</v>
      </c>
    </row>
    <row r="2201" spans="1:16">
      <c r="A2201" s="7">
        <v>46030</v>
      </c>
      <c r="B2201" s="8">
        <f t="shared" si="91"/>
        <v>81.9166666666667</v>
      </c>
      <c r="C2201" s="9">
        <f t="shared" si="86"/>
        <v>0.19152255001695484</v>
      </c>
      <c r="D2201" s="10">
        <f t="shared" si="92"/>
        <v>15.68888888888889</v>
      </c>
      <c r="E2201" s="83"/>
      <c r="G2201" s="84"/>
      <c r="I2201" s="29"/>
      <c r="K2201" s="29"/>
    </row>
    <row r="2202" spans="1:16">
      <c r="A2202" s="7">
        <v>46031</v>
      </c>
      <c r="B2202" s="8">
        <f t="shared" si="91"/>
        <v>81.833333333333371</v>
      </c>
      <c r="C2202" s="9">
        <f t="shared" ref="C2202:C2265" si="93">D2202/B2202</f>
        <v>0.19117447386286482</v>
      </c>
      <c r="D2202" s="10">
        <f t="shared" si="92"/>
        <v>15.644444444444446</v>
      </c>
      <c r="E2202" s="83"/>
      <c r="G2202" s="84"/>
      <c r="I2202" s="29"/>
      <c r="K2202" s="29"/>
    </row>
    <row r="2203" spans="1:16">
      <c r="A2203" s="7">
        <v>46032</v>
      </c>
      <c r="B2203" s="8">
        <f t="shared" si="91"/>
        <v>81.750000000000043</v>
      </c>
      <c r="C2203" s="9">
        <f t="shared" si="93"/>
        <v>0.19082568807339442</v>
      </c>
      <c r="D2203" s="10">
        <f t="shared" si="92"/>
        <v>15.600000000000001</v>
      </c>
      <c r="E2203" s="83"/>
      <c r="G2203" s="84"/>
      <c r="I2203" s="29"/>
      <c r="K2203" s="29"/>
    </row>
    <row r="2204" spans="1:16">
      <c r="A2204" s="7">
        <v>46033</v>
      </c>
      <c r="B2204" s="8">
        <f t="shared" si="91"/>
        <v>81.666666666666714</v>
      </c>
      <c r="C2204" s="9">
        <f t="shared" si="93"/>
        <v>0.19047619047619038</v>
      </c>
      <c r="D2204" s="10">
        <f t="shared" si="92"/>
        <v>15.555555555555557</v>
      </c>
      <c r="E2204" s="83"/>
      <c r="G2204" s="84"/>
      <c r="I2204" s="29"/>
      <c r="K2204" s="29"/>
    </row>
    <row r="2205" spans="1:16">
      <c r="A2205" s="7">
        <v>46034</v>
      </c>
      <c r="B2205" s="8">
        <f t="shared" si="91"/>
        <v>81.583333333333385</v>
      </c>
      <c r="C2205" s="9">
        <f t="shared" si="93"/>
        <v>0.19012597889002372</v>
      </c>
      <c r="D2205" s="10">
        <f t="shared" si="92"/>
        <v>15.511111111111113</v>
      </c>
      <c r="E2205" s="83"/>
      <c r="G2205" s="84"/>
      <c r="I2205" s="29"/>
      <c r="K2205" s="29"/>
    </row>
    <row r="2206" spans="1:16">
      <c r="A2206" s="7">
        <v>46035</v>
      </c>
      <c r="B2206" s="8">
        <f t="shared" si="91"/>
        <v>81.500000000000057</v>
      </c>
      <c r="C2206" s="9">
        <f t="shared" si="93"/>
        <v>0.18977505112474427</v>
      </c>
      <c r="D2206" s="10">
        <f t="shared" si="92"/>
        <v>15.466666666666669</v>
      </c>
      <c r="E2206" s="83"/>
      <c r="G2206" s="84"/>
      <c r="I2206" s="29"/>
      <c r="K2206" s="29"/>
    </row>
    <row r="2207" spans="1:16">
      <c r="A2207" s="7">
        <v>46036</v>
      </c>
      <c r="B2207" s="8">
        <f t="shared" si="91"/>
        <v>81.416666666666728</v>
      </c>
      <c r="C2207" s="9">
        <f t="shared" si="93"/>
        <v>0.18942340498123494</v>
      </c>
      <c r="D2207" s="10">
        <f t="shared" si="92"/>
        <v>15.422222222222224</v>
      </c>
      <c r="E2207" s="83"/>
      <c r="G2207" s="84"/>
      <c r="I2207" s="29"/>
      <c r="K2207" s="29"/>
    </row>
    <row r="2208" spans="1:16">
      <c r="A2208" s="7">
        <v>46037</v>
      </c>
      <c r="B2208" s="8">
        <f t="shared" si="91"/>
        <v>81.3333333333334</v>
      </c>
      <c r="C2208" s="9">
        <f t="shared" si="93"/>
        <v>0.18907103825136598</v>
      </c>
      <c r="D2208" s="10">
        <f t="shared" si="92"/>
        <v>15.37777777777778</v>
      </c>
      <c r="E2208" s="83"/>
      <c r="G2208" s="84"/>
      <c r="I2208" s="29"/>
      <c r="K2208" s="29"/>
    </row>
    <row r="2209" spans="1:4">
      <c r="A2209" s="7">
        <v>46038</v>
      </c>
      <c r="B2209" s="8">
        <f t="shared" si="91"/>
        <v>81.250000000000071</v>
      </c>
      <c r="C2209" s="9">
        <f t="shared" si="93"/>
        <v>0.18871794871794859</v>
      </c>
      <c r="D2209" s="10">
        <f t="shared" si="92"/>
        <v>15.333333333333336</v>
      </c>
    </row>
    <row r="2210" spans="1:4">
      <c r="A2210" s="7">
        <v>46039</v>
      </c>
      <c r="B2210" s="8">
        <f t="shared" si="91"/>
        <v>81.166666666666742</v>
      </c>
      <c r="C2210" s="9">
        <f t="shared" si="93"/>
        <v>0.18836413415468842</v>
      </c>
      <c r="D2210" s="10">
        <f t="shared" si="92"/>
        <v>15.288888888888891</v>
      </c>
    </row>
    <row r="2211" spans="1:4">
      <c r="A2211" s="7">
        <v>46040</v>
      </c>
      <c r="B2211" s="8">
        <f t="shared" si="91"/>
        <v>81.083333333333414</v>
      </c>
      <c r="C2211" s="9">
        <f t="shared" si="93"/>
        <v>0.18800959232613892</v>
      </c>
      <c r="D2211" s="10">
        <f t="shared" si="92"/>
        <v>15.244444444444447</v>
      </c>
    </row>
    <row r="2212" spans="1:4">
      <c r="A2212" s="7">
        <v>46041</v>
      </c>
      <c r="B2212" s="8">
        <f t="shared" si="91"/>
        <v>81.000000000000085</v>
      </c>
      <c r="C2212" s="9">
        <f t="shared" si="93"/>
        <v>0.18765432098765417</v>
      </c>
      <c r="D2212" s="10">
        <f t="shared" si="92"/>
        <v>15.200000000000003</v>
      </c>
    </row>
    <row r="2213" spans="1:4">
      <c r="A2213" s="7">
        <v>46042</v>
      </c>
      <c r="B2213" s="8">
        <f t="shared" si="91"/>
        <v>80.916666666666757</v>
      </c>
      <c r="C2213" s="9">
        <f t="shared" si="93"/>
        <v>0.1872983178853414</v>
      </c>
      <c r="D2213" s="10">
        <f t="shared" si="92"/>
        <v>15.155555555555559</v>
      </c>
    </row>
    <row r="2214" spans="1:4">
      <c r="A2214" s="7">
        <v>46043</v>
      </c>
      <c r="B2214" s="8">
        <f t="shared" si="91"/>
        <v>80.833333333333428</v>
      </c>
      <c r="C2214" s="9">
        <f t="shared" si="93"/>
        <v>0.18694158075601355</v>
      </c>
      <c r="D2214" s="10">
        <f t="shared" si="92"/>
        <v>15.111111111111114</v>
      </c>
    </row>
    <row r="2215" spans="1:4">
      <c r="A2215" s="7">
        <v>46044</v>
      </c>
      <c r="B2215" s="8">
        <f t="shared" si="91"/>
        <v>80.750000000000099</v>
      </c>
      <c r="C2215" s="9">
        <f t="shared" si="93"/>
        <v>0.1865841073271412</v>
      </c>
      <c r="D2215" s="10">
        <f t="shared" si="92"/>
        <v>15.06666666666667</v>
      </c>
    </row>
    <row r="2216" spans="1:4">
      <c r="A2216" s="7">
        <v>46045</v>
      </c>
      <c r="B2216" s="8">
        <f t="shared" si="91"/>
        <v>80.666666666666771</v>
      </c>
      <c r="C2216" s="9">
        <f t="shared" si="93"/>
        <v>0.1862258953168042</v>
      </c>
      <c r="D2216" s="10">
        <f t="shared" si="92"/>
        <v>15.022222222222226</v>
      </c>
    </row>
    <row r="2217" spans="1:4">
      <c r="A2217" s="7">
        <v>46046</v>
      </c>
      <c r="B2217" s="8">
        <f t="shared" si="91"/>
        <v>80.583333333333442</v>
      </c>
      <c r="C2217" s="9">
        <f t="shared" si="93"/>
        <v>0.18586694243364338</v>
      </c>
      <c r="D2217" s="10">
        <f t="shared" si="92"/>
        <v>14.977777777777781</v>
      </c>
    </row>
    <row r="2218" spans="1:4">
      <c r="A2218" s="7">
        <v>46047</v>
      </c>
      <c r="B2218" s="8">
        <f t="shared" si="91"/>
        <v>80.500000000000114</v>
      </c>
      <c r="C2218" s="9">
        <f t="shared" si="93"/>
        <v>0.18550724637681137</v>
      </c>
      <c r="D2218" s="10">
        <f t="shared" si="92"/>
        <v>14.933333333333337</v>
      </c>
    </row>
    <row r="2219" spans="1:4">
      <c r="A2219" s="7">
        <v>46048</v>
      </c>
      <c r="B2219" s="8">
        <f t="shared" si="91"/>
        <v>80.416666666666785</v>
      </c>
      <c r="C2219" s="9">
        <f t="shared" si="93"/>
        <v>0.18514680483592377</v>
      </c>
      <c r="D2219" s="10">
        <f t="shared" si="92"/>
        <v>14.888888888888893</v>
      </c>
    </row>
    <row r="2220" spans="1:4">
      <c r="A2220" s="7">
        <v>46049</v>
      </c>
      <c r="B2220" s="8">
        <f t="shared" si="91"/>
        <v>80.333333333333456</v>
      </c>
      <c r="C2220" s="9">
        <f t="shared" si="93"/>
        <v>0.18478561549100944</v>
      </c>
      <c r="D2220" s="10">
        <f t="shared" si="92"/>
        <v>14.844444444444449</v>
      </c>
    </row>
    <row r="2221" spans="1:4">
      <c r="A2221" s="7">
        <v>46050</v>
      </c>
      <c r="B2221" s="8">
        <f t="shared" si="91"/>
        <v>80.250000000000128</v>
      </c>
      <c r="C2221" s="9">
        <f t="shared" si="93"/>
        <v>0.18442367601246082</v>
      </c>
      <c r="D2221" s="10">
        <f t="shared" si="92"/>
        <v>14.800000000000004</v>
      </c>
    </row>
    <row r="2222" spans="1:4">
      <c r="A2222" s="7">
        <v>46051</v>
      </c>
      <c r="B2222" s="8">
        <f t="shared" si="91"/>
        <v>80.166666666666799</v>
      </c>
      <c r="C2222" s="9">
        <f t="shared" si="93"/>
        <v>0.18406098406098381</v>
      </c>
      <c r="D2222" s="10">
        <f t="shared" si="92"/>
        <v>14.75555555555556</v>
      </c>
    </row>
    <row r="2223" spans="1:4">
      <c r="A2223" s="7">
        <v>46052</v>
      </c>
      <c r="B2223" s="8">
        <f t="shared" si="91"/>
        <v>80.083333333333471</v>
      </c>
      <c r="C2223" s="9">
        <f t="shared" si="93"/>
        <v>0.18369753728754742</v>
      </c>
      <c r="D2223" s="10">
        <f t="shared" si="92"/>
        <v>14.711111111111116</v>
      </c>
    </row>
    <row r="2224" spans="1:4">
      <c r="A2224" s="7">
        <v>46053</v>
      </c>
      <c r="B2224" s="8">
        <f t="shared" si="91"/>
        <v>80.000000000000142</v>
      </c>
      <c r="C2224" s="9">
        <f t="shared" si="93"/>
        <v>0.18333333333333307</v>
      </c>
      <c r="D2224" s="10">
        <f t="shared" si="92"/>
        <v>14.666666666666671</v>
      </c>
    </row>
    <row r="2225" spans="1:4">
      <c r="A2225" s="7">
        <v>46054</v>
      </c>
      <c r="B2225" s="8">
        <v>80</v>
      </c>
      <c r="C2225" s="9">
        <f t="shared" si="93"/>
        <v>0.18277777777777784</v>
      </c>
      <c r="D2225" s="10">
        <f t="shared" si="92"/>
        <v>14.622222222222227</v>
      </c>
    </row>
    <row r="2226" spans="1:4">
      <c r="A2226" s="7">
        <v>46055</v>
      </c>
      <c r="B2226" s="8">
        <f t="shared" si="91"/>
        <v>79.916666666666671</v>
      </c>
      <c r="C2226" s="9">
        <f t="shared" si="93"/>
        <v>0.18241223496697956</v>
      </c>
      <c r="D2226" s="10">
        <f t="shared" si="92"/>
        <v>14.577777777777783</v>
      </c>
    </row>
    <row r="2227" spans="1:4">
      <c r="A2227" s="7">
        <v>46056</v>
      </c>
      <c r="B2227" s="8">
        <f t="shared" si="91"/>
        <v>79.833333333333343</v>
      </c>
      <c r="C2227" s="9">
        <f t="shared" si="93"/>
        <v>0.18204592901878919</v>
      </c>
      <c r="D2227" s="10">
        <f t="shared" si="92"/>
        <v>14.533333333333339</v>
      </c>
    </row>
    <row r="2228" spans="1:4">
      <c r="A2228" s="7">
        <v>46057</v>
      </c>
      <c r="B2228" s="8">
        <f t="shared" si="91"/>
        <v>79.750000000000014</v>
      </c>
      <c r="C2228" s="9">
        <f t="shared" si="93"/>
        <v>0.18167885754092655</v>
      </c>
      <c r="D2228" s="10">
        <f t="shared" si="92"/>
        <v>14.488888888888894</v>
      </c>
    </row>
    <row r="2229" spans="1:4">
      <c r="A2229" s="7">
        <v>46058</v>
      </c>
      <c r="B2229" s="8">
        <f t="shared" si="91"/>
        <v>79.666666666666686</v>
      </c>
      <c r="C2229" s="9">
        <f t="shared" si="93"/>
        <v>0.18131101813110184</v>
      </c>
      <c r="D2229" s="10">
        <f t="shared" si="92"/>
        <v>14.44444444444445</v>
      </c>
    </row>
    <row r="2230" spans="1:4">
      <c r="A2230" s="7">
        <v>46059</v>
      </c>
      <c r="B2230" s="8">
        <f t="shared" si="91"/>
        <v>79.583333333333357</v>
      </c>
      <c r="C2230" s="9">
        <f t="shared" si="93"/>
        <v>0.18094240837696338</v>
      </c>
      <c r="D2230" s="10">
        <f t="shared" si="92"/>
        <v>14.400000000000006</v>
      </c>
    </row>
    <row r="2231" spans="1:4">
      <c r="A2231" s="7">
        <v>46060</v>
      </c>
      <c r="B2231" s="8">
        <f t="shared" si="91"/>
        <v>79.500000000000028</v>
      </c>
      <c r="C2231" s="9">
        <f t="shared" si="93"/>
        <v>0.18057302585604473</v>
      </c>
      <c r="D2231" s="10">
        <f t="shared" si="92"/>
        <v>14.355555555555561</v>
      </c>
    </row>
    <row r="2232" spans="1:4">
      <c r="A2232" s="7">
        <v>46061</v>
      </c>
      <c r="B2232" s="8">
        <f t="shared" si="91"/>
        <v>79.4166666666667</v>
      </c>
      <c r="C2232" s="9">
        <f t="shared" si="93"/>
        <v>0.18020286813571179</v>
      </c>
      <c r="D2232" s="10">
        <f t="shared" si="92"/>
        <v>14.311111111111117</v>
      </c>
    </row>
    <row r="2233" spans="1:4">
      <c r="A2233" s="7">
        <v>46062</v>
      </c>
      <c r="B2233" s="8">
        <f t="shared" si="91"/>
        <v>79.333333333333371</v>
      </c>
      <c r="C2233" s="9">
        <f t="shared" si="93"/>
        <v>0.17983193277310924</v>
      </c>
      <c r="D2233" s="10">
        <f t="shared" si="92"/>
        <v>14.266666666666673</v>
      </c>
    </row>
    <row r="2234" spans="1:4">
      <c r="A2234" s="7">
        <v>46063</v>
      </c>
      <c r="B2234" s="8">
        <f t="shared" si="91"/>
        <v>79.250000000000043</v>
      </c>
      <c r="C2234" s="9">
        <f t="shared" si="93"/>
        <v>0.17946021731510689</v>
      </c>
      <c r="D2234" s="10">
        <f t="shared" si="92"/>
        <v>14.222222222222229</v>
      </c>
    </row>
    <row r="2235" spans="1:4">
      <c r="A2235" s="7">
        <v>46064</v>
      </c>
      <c r="B2235" s="8">
        <f t="shared" si="91"/>
        <v>79.166666666666714</v>
      </c>
      <c r="C2235" s="9">
        <f t="shared" si="93"/>
        <v>0.1790877192982456</v>
      </c>
      <c r="D2235" s="10">
        <f t="shared" si="92"/>
        <v>14.177777777777784</v>
      </c>
    </row>
    <row r="2236" spans="1:4">
      <c r="A2236" s="7">
        <v>46065</v>
      </c>
      <c r="B2236" s="8">
        <f t="shared" si="91"/>
        <v>79.083333333333385</v>
      </c>
      <c r="C2236" s="9">
        <f t="shared" si="93"/>
        <v>0.1787144362486828</v>
      </c>
      <c r="D2236" s="10">
        <f t="shared" si="92"/>
        <v>14.13333333333334</v>
      </c>
    </row>
    <row r="2237" spans="1:4">
      <c r="A2237" s="7">
        <v>46066</v>
      </c>
      <c r="B2237" s="8">
        <f t="shared" si="91"/>
        <v>79.000000000000057</v>
      </c>
      <c r="C2237" s="9">
        <f t="shared" si="93"/>
        <v>0.17834036568213779</v>
      </c>
      <c r="D2237" s="10">
        <f t="shared" si="92"/>
        <v>14.088888888888896</v>
      </c>
    </row>
    <row r="2238" spans="1:4">
      <c r="A2238" s="7">
        <v>46067</v>
      </c>
      <c r="B2238" s="8">
        <f t="shared" si="91"/>
        <v>78.916666666666728</v>
      </c>
      <c r="C2238" s="9">
        <f t="shared" si="93"/>
        <v>0.17796550510383663</v>
      </c>
      <c r="D2238" s="10">
        <f t="shared" si="92"/>
        <v>14.044444444444451</v>
      </c>
    </row>
    <row r="2239" spans="1:4">
      <c r="A2239" s="7">
        <v>46068</v>
      </c>
      <c r="B2239" s="8">
        <f t="shared" si="91"/>
        <v>78.8333333333334</v>
      </c>
      <c r="C2239" s="9">
        <f t="shared" si="93"/>
        <v>0.17758985200845659</v>
      </c>
      <c r="D2239" s="10">
        <f t="shared" si="92"/>
        <v>14.000000000000007</v>
      </c>
    </row>
    <row r="2240" spans="1:4">
      <c r="A2240" s="7">
        <v>46069</v>
      </c>
      <c r="B2240" s="8">
        <f t="shared" si="91"/>
        <v>78.750000000000071</v>
      </c>
      <c r="C2240" s="9">
        <f t="shared" si="93"/>
        <v>0.17721340388007048</v>
      </c>
      <c r="D2240" s="10">
        <f t="shared" si="92"/>
        <v>13.955555555555563</v>
      </c>
    </row>
    <row r="2241" spans="1:4">
      <c r="A2241" s="7">
        <v>46070</v>
      </c>
      <c r="B2241" s="8">
        <f t="shared" si="91"/>
        <v>78.666666666666742</v>
      </c>
      <c r="C2241" s="9">
        <f t="shared" si="93"/>
        <v>0.17683615819209031</v>
      </c>
      <c r="D2241" s="10">
        <f t="shared" si="92"/>
        <v>13.911111111111119</v>
      </c>
    </row>
    <row r="2242" spans="1:4">
      <c r="A2242" s="7">
        <v>46071</v>
      </c>
      <c r="B2242" s="8">
        <f t="shared" si="91"/>
        <v>78.583333333333414</v>
      </c>
      <c r="C2242" s="9">
        <f t="shared" si="93"/>
        <v>0.17645811240721093</v>
      </c>
      <c r="D2242" s="10">
        <f t="shared" si="92"/>
        <v>13.866666666666674</v>
      </c>
    </row>
    <row r="2243" spans="1:4">
      <c r="A2243" s="7">
        <v>46072</v>
      </c>
      <c r="B2243" s="8">
        <f t="shared" si="91"/>
        <v>78.500000000000085</v>
      </c>
      <c r="C2243" s="9">
        <f t="shared" si="93"/>
        <v>0.17607926397735305</v>
      </c>
      <c r="D2243" s="10">
        <f t="shared" si="92"/>
        <v>13.82222222222223</v>
      </c>
    </row>
    <row r="2244" spans="1:4">
      <c r="A2244" s="7">
        <v>46073</v>
      </c>
      <c r="B2244" s="8">
        <f t="shared" si="91"/>
        <v>78.416666666666757</v>
      </c>
      <c r="C2244" s="9">
        <f t="shared" si="93"/>
        <v>0.17569961034360598</v>
      </c>
      <c r="D2244" s="10">
        <f t="shared" si="92"/>
        <v>13.777777777777786</v>
      </c>
    </row>
    <row r="2245" spans="1:4">
      <c r="A2245" s="7">
        <v>46074</v>
      </c>
      <c r="B2245" s="8">
        <f t="shared" si="91"/>
        <v>78.333333333333428</v>
      </c>
      <c r="C2245" s="9">
        <f t="shared" si="93"/>
        <v>0.17531914893617009</v>
      </c>
      <c r="D2245" s="10">
        <f t="shared" si="92"/>
        <v>13.733333333333341</v>
      </c>
    </row>
    <row r="2246" spans="1:4">
      <c r="A2246" s="7">
        <v>46075</v>
      </c>
      <c r="B2246" s="8">
        <f t="shared" si="91"/>
        <v>78.250000000000099</v>
      </c>
      <c r="C2246" s="9">
        <f t="shared" si="93"/>
        <v>0.17493787717429879</v>
      </c>
      <c r="D2246" s="10">
        <f t="shared" si="92"/>
        <v>13.688888888888897</v>
      </c>
    </row>
    <row r="2247" spans="1:4">
      <c r="A2247" s="7">
        <v>46076</v>
      </c>
      <c r="B2247" s="8">
        <f t="shared" si="91"/>
        <v>78.166666666666771</v>
      </c>
      <c r="C2247" s="9">
        <f t="shared" si="93"/>
        <v>0.17455579246624009</v>
      </c>
      <c r="D2247" s="10">
        <f t="shared" si="92"/>
        <v>13.644444444444453</v>
      </c>
    </row>
    <row r="2248" spans="1:4">
      <c r="A2248" s="7">
        <v>46077</v>
      </c>
      <c r="B2248" s="8">
        <f t="shared" si="91"/>
        <v>78.083333333333442</v>
      </c>
      <c r="C2248" s="9">
        <f t="shared" si="93"/>
        <v>0.17417289220917809</v>
      </c>
      <c r="D2248" s="10">
        <f t="shared" si="92"/>
        <v>13.600000000000009</v>
      </c>
    </row>
    <row r="2249" spans="1:4">
      <c r="A2249" s="7">
        <v>46078</v>
      </c>
      <c r="B2249" s="8">
        <f t="shared" si="91"/>
        <v>78.000000000000114</v>
      </c>
      <c r="C2249" s="9">
        <f t="shared" si="93"/>
        <v>0.17378917378917363</v>
      </c>
      <c r="D2249" s="10">
        <f t="shared" si="92"/>
        <v>13.555555555555564</v>
      </c>
    </row>
    <row r="2250" spans="1:4">
      <c r="A2250" s="7">
        <v>46079</v>
      </c>
      <c r="B2250" s="8">
        <f t="shared" si="91"/>
        <v>77.916666666666785</v>
      </c>
      <c r="C2250" s="9">
        <f t="shared" si="93"/>
        <v>0.17340463458110503</v>
      </c>
      <c r="D2250" s="10">
        <f t="shared" si="92"/>
        <v>13.51111111111112</v>
      </c>
    </row>
    <row r="2251" spans="1:4">
      <c r="A2251" s="7">
        <v>46080</v>
      </c>
      <c r="B2251" s="8">
        <f t="shared" si="91"/>
        <v>77.833333333333456</v>
      </c>
      <c r="C2251" s="9">
        <f t="shared" si="93"/>
        <v>0.17301927194860797</v>
      </c>
      <c r="D2251" s="10">
        <f t="shared" si="92"/>
        <v>13.466666666666676</v>
      </c>
    </row>
    <row r="2252" spans="1:4">
      <c r="A2252" s="7">
        <v>46081</v>
      </c>
      <c r="B2252" s="8">
        <f t="shared" si="91"/>
        <v>77.750000000000128</v>
      </c>
      <c r="C2252" s="9">
        <f t="shared" si="93"/>
        <v>0.17263308324401555</v>
      </c>
      <c r="D2252" s="10">
        <f t="shared" si="92"/>
        <v>13.422222222222231</v>
      </c>
    </row>
    <row r="2253" spans="1:4">
      <c r="A2253" s="7">
        <v>46082</v>
      </c>
      <c r="B2253" s="8">
        <v>77.5</v>
      </c>
      <c r="C2253" s="9">
        <f t="shared" si="93"/>
        <v>0.17261648745519725</v>
      </c>
      <c r="D2253" s="10">
        <f t="shared" si="92"/>
        <v>13.377777777777787</v>
      </c>
    </row>
    <row r="2254" spans="1:4">
      <c r="A2254" s="7">
        <v>46083</v>
      </c>
      <c r="B2254" s="8">
        <f t="shared" si="91"/>
        <v>77.416666666666671</v>
      </c>
      <c r="C2254" s="9">
        <f t="shared" si="93"/>
        <v>0.17222820236813791</v>
      </c>
      <c r="D2254" s="10">
        <f t="shared" si="92"/>
        <v>13.333333333333343</v>
      </c>
    </row>
    <row r="2255" spans="1:4">
      <c r="A2255" s="7">
        <v>46084</v>
      </c>
      <c r="B2255" s="8">
        <f t="shared" si="91"/>
        <v>77.333333333333343</v>
      </c>
      <c r="C2255" s="9">
        <f t="shared" si="93"/>
        <v>0.17183908045977023</v>
      </c>
      <c r="D2255" s="10">
        <f t="shared" si="92"/>
        <v>13.288888888888899</v>
      </c>
    </row>
    <row r="2256" spans="1:4">
      <c r="A2256" s="7">
        <v>46085</v>
      </c>
      <c r="B2256" s="8">
        <f t="shared" si="91"/>
        <v>77.250000000000014</v>
      </c>
      <c r="C2256" s="9">
        <f t="shared" si="93"/>
        <v>0.17144911902193466</v>
      </c>
      <c r="D2256" s="10">
        <f t="shared" si="92"/>
        <v>13.244444444444454</v>
      </c>
    </row>
    <row r="2257" spans="1:4">
      <c r="A2257" s="7">
        <v>46086</v>
      </c>
      <c r="B2257" s="8">
        <f t="shared" si="91"/>
        <v>77.166666666666686</v>
      </c>
      <c r="C2257" s="9">
        <f t="shared" si="93"/>
        <v>0.17105831533477331</v>
      </c>
      <c r="D2257" s="10">
        <f t="shared" si="92"/>
        <v>13.20000000000001</v>
      </c>
    </row>
    <row r="2258" spans="1:4">
      <c r="A2258" s="7">
        <v>46087</v>
      </c>
      <c r="B2258" s="8">
        <f t="shared" si="91"/>
        <v>77.083333333333357</v>
      </c>
      <c r="C2258" s="9">
        <f t="shared" si="93"/>
        <v>0.17066666666666674</v>
      </c>
      <c r="D2258" s="10">
        <f t="shared" si="92"/>
        <v>13.155555555555566</v>
      </c>
    </row>
    <row r="2259" spans="1:4">
      <c r="A2259" s="7">
        <v>46088</v>
      </c>
      <c r="B2259" s="8">
        <f t="shared" si="91"/>
        <v>77.000000000000028</v>
      </c>
      <c r="C2259" s="9">
        <f t="shared" si="93"/>
        <v>0.17027417027417036</v>
      </c>
      <c r="D2259" s="10">
        <f t="shared" si="92"/>
        <v>13.111111111111121</v>
      </c>
    </row>
    <row r="2260" spans="1:4">
      <c r="A2260" s="7">
        <v>46089</v>
      </c>
      <c r="B2260" s="8">
        <f t="shared" ref="B2260:B2282" si="94">B2259-2.5/30</f>
        <v>76.9166666666667</v>
      </c>
      <c r="C2260" s="9">
        <f t="shared" si="93"/>
        <v>0.16988082340195024</v>
      </c>
      <c r="D2260" s="10">
        <f t="shared" ref="D2260:D2282" si="95">D2259-4/90</f>
        <v>13.066666666666677</v>
      </c>
    </row>
    <row r="2261" spans="1:4">
      <c r="A2261" s="7">
        <v>46090</v>
      </c>
      <c r="B2261" s="8">
        <f t="shared" si="94"/>
        <v>76.833333333333371</v>
      </c>
      <c r="C2261" s="9">
        <f t="shared" si="93"/>
        <v>0.16948662328271877</v>
      </c>
      <c r="D2261" s="10">
        <f t="shared" si="95"/>
        <v>13.022222222222233</v>
      </c>
    </row>
    <row r="2262" spans="1:4">
      <c r="A2262" s="7">
        <v>46091</v>
      </c>
      <c r="B2262" s="8">
        <f t="shared" si="94"/>
        <v>76.750000000000043</v>
      </c>
      <c r="C2262" s="9">
        <f t="shared" si="93"/>
        <v>0.1690915671371698</v>
      </c>
      <c r="D2262" s="10">
        <f t="shared" si="95"/>
        <v>12.977777777777789</v>
      </c>
    </row>
    <row r="2263" spans="1:4">
      <c r="A2263" s="7">
        <v>46092</v>
      </c>
      <c r="B2263" s="8">
        <f t="shared" si="94"/>
        <v>76.666666666666714</v>
      </c>
      <c r="C2263" s="9">
        <f t="shared" si="93"/>
        <v>0.16869565217391308</v>
      </c>
      <c r="D2263" s="10">
        <f t="shared" si="95"/>
        <v>12.933333333333344</v>
      </c>
    </row>
    <row r="2264" spans="1:4">
      <c r="A2264" s="7">
        <v>46093</v>
      </c>
      <c r="B2264" s="8">
        <f t="shared" si="94"/>
        <v>76.583333333333385</v>
      </c>
      <c r="C2264" s="9">
        <f t="shared" si="93"/>
        <v>0.16829887558940881</v>
      </c>
      <c r="D2264" s="10">
        <f t="shared" si="95"/>
        <v>12.8888888888889</v>
      </c>
    </row>
    <row r="2265" spans="1:4">
      <c r="A2265" s="7">
        <v>46094</v>
      </c>
      <c r="B2265" s="8">
        <f t="shared" si="94"/>
        <v>76.500000000000057</v>
      </c>
      <c r="C2265" s="9">
        <f t="shared" si="93"/>
        <v>0.16790123456790126</v>
      </c>
      <c r="D2265" s="10">
        <f t="shared" si="95"/>
        <v>12.844444444444456</v>
      </c>
    </row>
    <row r="2266" spans="1:4">
      <c r="A2266" s="7">
        <v>46095</v>
      </c>
      <c r="B2266" s="8">
        <f t="shared" si="94"/>
        <v>76.416666666666728</v>
      </c>
      <c r="C2266" s="9">
        <f t="shared" ref="C2266:C2283" si="96">D2266/B2266</f>
        <v>0.16750272628135224</v>
      </c>
      <c r="D2266" s="10">
        <f t="shared" si="95"/>
        <v>12.800000000000011</v>
      </c>
    </row>
    <row r="2267" spans="1:4">
      <c r="A2267" s="7">
        <v>46096</v>
      </c>
      <c r="B2267" s="8">
        <f t="shared" si="94"/>
        <v>76.3333333333334</v>
      </c>
      <c r="C2267" s="9">
        <f t="shared" si="96"/>
        <v>0.16710334788937409</v>
      </c>
      <c r="D2267" s="10">
        <f t="shared" si="95"/>
        <v>12.755555555555567</v>
      </c>
    </row>
    <row r="2268" spans="1:4">
      <c r="A2268" s="7">
        <v>46097</v>
      </c>
      <c r="B2268" s="8">
        <f t="shared" si="94"/>
        <v>76.250000000000071</v>
      </c>
      <c r="C2268" s="9">
        <f t="shared" si="96"/>
        <v>0.1667030965391621</v>
      </c>
      <c r="D2268" s="10">
        <f t="shared" si="95"/>
        <v>12.711111111111123</v>
      </c>
    </row>
    <row r="2269" spans="1:4">
      <c r="A2269" s="7">
        <v>46098</v>
      </c>
      <c r="B2269" s="8">
        <f t="shared" si="94"/>
        <v>76.166666666666742</v>
      </c>
      <c r="C2269" s="9">
        <f t="shared" si="96"/>
        <v>0.16630196936542668</v>
      </c>
      <c r="D2269" s="10">
        <f t="shared" si="95"/>
        <v>12.666666666666679</v>
      </c>
    </row>
    <row r="2270" spans="1:4">
      <c r="A2270" s="7">
        <v>46099</v>
      </c>
      <c r="B2270" s="8">
        <f t="shared" si="94"/>
        <v>76.083333333333414</v>
      </c>
      <c r="C2270" s="9">
        <f t="shared" si="96"/>
        <v>0.16589996349032493</v>
      </c>
      <c r="D2270" s="10">
        <f t="shared" si="95"/>
        <v>12.622222222222234</v>
      </c>
    </row>
    <row r="2271" spans="1:4">
      <c r="A2271" s="7">
        <v>46100</v>
      </c>
      <c r="B2271" s="8">
        <f t="shared" si="94"/>
        <v>76.000000000000085</v>
      </c>
      <c r="C2271" s="9">
        <f t="shared" si="96"/>
        <v>0.16549707602339178</v>
      </c>
      <c r="D2271" s="10">
        <f t="shared" si="95"/>
        <v>12.57777777777779</v>
      </c>
    </row>
    <row r="2272" spans="1:4">
      <c r="A2272" s="7">
        <v>46101</v>
      </c>
      <c r="B2272" s="8">
        <f t="shared" si="94"/>
        <v>75.916666666666757</v>
      </c>
      <c r="C2272" s="9">
        <f t="shared" si="96"/>
        <v>0.16509330406147088</v>
      </c>
      <c r="D2272" s="10">
        <f t="shared" si="95"/>
        <v>12.533333333333346</v>
      </c>
    </row>
    <row r="2273" spans="1:4">
      <c r="A2273" s="7">
        <v>46102</v>
      </c>
      <c r="B2273" s="8">
        <f t="shared" si="94"/>
        <v>75.833333333333428</v>
      </c>
      <c r="C2273" s="9">
        <f t="shared" si="96"/>
        <v>0.16468864468864464</v>
      </c>
      <c r="D2273" s="10">
        <f t="shared" si="95"/>
        <v>12.488888888888901</v>
      </c>
    </row>
    <row r="2274" spans="1:4">
      <c r="A2274" s="7">
        <v>46103</v>
      </c>
      <c r="B2274" s="8">
        <f t="shared" si="94"/>
        <v>75.750000000000099</v>
      </c>
      <c r="C2274" s="9">
        <f t="shared" si="96"/>
        <v>0.16428309497616422</v>
      </c>
      <c r="D2274" s="10">
        <f t="shared" si="95"/>
        <v>12.444444444444457</v>
      </c>
    </row>
    <row r="2275" spans="1:4">
      <c r="A2275" s="7">
        <v>46104</v>
      </c>
      <c r="B2275" s="8">
        <f t="shared" si="94"/>
        <v>75.666666666666771</v>
      </c>
      <c r="C2275" s="9">
        <f t="shared" si="96"/>
        <v>0.1638766519823788</v>
      </c>
      <c r="D2275" s="10">
        <f t="shared" si="95"/>
        <v>12.400000000000013</v>
      </c>
    </row>
    <row r="2276" spans="1:4">
      <c r="A2276" s="7">
        <v>46105</v>
      </c>
      <c r="B2276" s="8">
        <f t="shared" si="94"/>
        <v>75.583333333333442</v>
      </c>
      <c r="C2276" s="9">
        <f t="shared" si="96"/>
        <v>0.16346931275266441</v>
      </c>
      <c r="D2276" s="10">
        <f t="shared" si="95"/>
        <v>12.355555555555569</v>
      </c>
    </row>
    <row r="2277" spans="1:4">
      <c r="A2277" s="7">
        <v>46106</v>
      </c>
      <c r="B2277" s="8">
        <f t="shared" si="94"/>
        <v>75.500000000000114</v>
      </c>
      <c r="C2277" s="9">
        <f t="shared" si="96"/>
        <v>0.16306107431935241</v>
      </c>
      <c r="D2277" s="10">
        <f t="shared" si="95"/>
        <v>12.311111111111124</v>
      </c>
    </row>
    <row r="2278" spans="1:4">
      <c r="A2278" s="7">
        <v>46107</v>
      </c>
      <c r="B2278" s="8">
        <f t="shared" si="94"/>
        <v>75.416666666666785</v>
      </c>
      <c r="C2278" s="9">
        <f t="shared" si="96"/>
        <v>0.16265193370165737</v>
      </c>
      <c r="D2278" s="10">
        <f t="shared" si="95"/>
        <v>12.26666666666668</v>
      </c>
    </row>
    <row r="2279" spans="1:4">
      <c r="A2279" s="7">
        <v>46108</v>
      </c>
      <c r="B2279" s="8">
        <f t="shared" si="94"/>
        <v>75.333333333333456</v>
      </c>
      <c r="C2279" s="9">
        <f t="shared" si="96"/>
        <v>0.16224188790560462</v>
      </c>
      <c r="D2279" s="10">
        <f t="shared" si="95"/>
        <v>12.222222222222236</v>
      </c>
    </row>
    <row r="2280" spans="1:4">
      <c r="A2280" s="7">
        <v>46109</v>
      </c>
      <c r="B2280" s="8">
        <f t="shared" si="94"/>
        <v>75.250000000000128</v>
      </c>
      <c r="C2280" s="9">
        <f t="shared" si="96"/>
        <v>0.16183093392395709</v>
      </c>
      <c r="D2280" s="10">
        <f t="shared" si="95"/>
        <v>12.177777777777791</v>
      </c>
    </row>
    <row r="2281" spans="1:4">
      <c r="A2281" s="7">
        <v>46110</v>
      </c>
      <c r="B2281" s="8">
        <f t="shared" si="94"/>
        <v>75.166666666666799</v>
      </c>
      <c r="C2281" s="9">
        <f t="shared" si="96"/>
        <v>0.16141906873614181</v>
      </c>
      <c r="D2281" s="10">
        <f t="shared" si="95"/>
        <v>12.133333333333347</v>
      </c>
    </row>
    <row r="2282" spans="1:4">
      <c r="A2282" s="7">
        <v>46111</v>
      </c>
      <c r="B2282" s="8">
        <f t="shared" si="94"/>
        <v>75.083333333333471</v>
      </c>
      <c r="C2282" s="9">
        <f t="shared" si="96"/>
        <v>0.16100628930817598</v>
      </c>
      <c r="D2282" s="10">
        <f t="shared" si="95"/>
        <v>12.088888888888903</v>
      </c>
    </row>
    <row r="2283" spans="1:4">
      <c r="A2283" s="7">
        <v>46112</v>
      </c>
      <c r="B2283" s="8">
        <v>75</v>
      </c>
      <c r="C2283" s="9">
        <f t="shared" si="96"/>
        <v>0.16</v>
      </c>
      <c r="D2283" s="10">
        <v>12</v>
      </c>
    </row>
    <row r="2284" spans="1:4">
      <c r="A2284" s="7">
        <v>46113</v>
      </c>
      <c r="B2284" s="8">
        <v>75</v>
      </c>
    </row>
    <row r="2285" spans="1:4">
      <c r="A2285" s="7">
        <v>46114</v>
      </c>
      <c r="B2285" s="8">
        <v>75</v>
      </c>
    </row>
    <row r="2286" spans="1:4">
      <c r="A2286" s="7">
        <v>46115</v>
      </c>
      <c r="B2286" s="8">
        <v>75</v>
      </c>
    </row>
    <row r="2287" spans="1:4">
      <c r="A2287" s="7">
        <v>46116</v>
      </c>
      <c r="B2287" s="8">
        <v>75</v>
      </c>
    </row>
    <row r="2288" spans="1:4">
      <c r="A2288" s="7">
        <v>46117</v>
      </c>
      <c r="B2288" s="8">
        <v>75</v>
      </c>
    </row>
    <row r="2289" spans="1:2">
      <c r="A2289" s="7">
        <v>46118</v>
      </c>
      <c r="B2289" s="8">
        <v>75</v>
      </c>
    </row>
    <row r="2290" spans="1:2">
      <c r="A2290" s="7">
        <v>46119</v>
      </c>
      <c r="B2290" s="8">
        <v>75</v>
      </c>
    </row>
    <row r="2291" spans="1:2">
      <c r="A2291" s="7">
        <v>46120</v>
      </c>
      <c r="B2291" s="8">
        <v>75</v>
      </c>
    </row>
    <row r="2292" spans="1:2">
      <c r="A2292" s="7">
        <v>46121</v>
      </c>
      <c r="B2292" s="8">
        <v>75</v>
      </c>
    </row>
    <row r="2293" spans="1:2">
      <c r="A2293" s="7">
        <v>46122</v>
      </c>
      <c r="B2293" s="8">
        <v>75</v>
      </c>
    </row>
    <row r="2294" spans="1:2">
      <c r="A2294" s="7">
        <v>46123</v>
      </c>
      <c r="B2294" s="8">
        <v>75</v>
      </c>
    </row>
    <row r="2295" spans="1:2">
      <c r="A2295" s="7">
        <v>46124</v>
      </c>
      <c r="B2295" s="8">
        <v>75</v>
      </c>
    </row>
    <row r="2296" spans="1:2">
      <c r="A2296" s="7">
        <v>46125</v>
      </c>
      <c r="B2296" s="8">
        <v>75</v>
      </c>
    </row>
    <row r="2297" spans="1:2">
      <c r="A2297" s="7">
        <v>46126</v>
      </c>
      <c r="B2297" s="8">
        <v>75</v>
      </c>
    </row>
    <row r="2298" spans="1:2">
      <c r="A2298" s="7">
        <v>46127</v>
      </c>
      <c r="B2298" s="8">
        <v>75</v>
      </c>
    </row>
    <row r="2299" spans="1:2">
      <c r="A2299" s="7">
        <v>46128</v>
      </c>
      <c r="B2299" s="8">
        <v>75</v>
      </c>
    </row>
    <row r="2300" spans="1:2">
      <c r="A2300" s="7">
        <v>46129</v>
      </c>
      <c r="B2300" s="8">
        <v>75</v>
      </c>
    </row>
    <row r="2301" spans="1:2">
      <c r="A2301" s="7">
        <v>46130</v>
      </c>
      <c r="B2301" s="8">
        <v>75</v>
      </c>
    </row>
    <row r="2302" spans="1:2">
      <c r="A2302" s="7">
        <v>46131</v>
      </c>
      <c r="B2302" s="8">
        <v>75</v>
      </c>
    </row>
    <row r="2303" spans="1:2">
      <c r="A2303" s="7">
        <v>46132</v>
      </c>
      <c r="B2303" s="8">
        <v>75</v>
      </c>
    </row>
    <row r="2304" spans="1:2">
      <c r="A2304" s="7">
        <v>46133</v>
      </c>
      <c r="B2304" s="8">
        <v>75</v>
      </c>
    </row>
    <row r="2305" spans="1:2">
      <c r="A2305" s="7">
        <v>46134</v>
      </c>
      <c r="B2305" s="8">
        <v>75</v>
      </c>
    </row>
    <row r="2306" spans="1:2">
      <c r="A2306" s="7">
        <v>46135</v>
      </c>
      <c r="B2306" s="8">
        <v>75</v>
      </c>
    </row>
    <row r="2307" spans="1:2">
      <c r="A2307" s="7">
        <v>46136</v>
      </c>
      <c r="B2307" s="8">
        <v>75</v>
      </c>
    </row>
    <row r="2308" spans="1:2">
      <c r="A2308" s="7">
        <v>46137</v>
      </c>
      <c r="B2308" s="8">
        <v>75</v>
      </c>
    </row>
    <row r="2309" spans="1:2">
      <c r="A2309" s="7">
        <v>46138</v>
      </c>
      <c r="B2309" s="8">
        <v>75</v>
      </c>
    </row>
    <row r="2310" spans="1:2">
      <c r="A2310" s="7">
        <v>46139</v>
      </c>
      <c r="B2310" s="8">
        <v>75</v>
      </c>
    </row>
    <row r="2311" spans="1:2">
      <c r="A2311" s="7">
        <v>46140</v>
      </c>
      <c r="B2311" s="8">
        <v>75</v>
      </c>
    </row>
    <row r="2312" spans="1:2">
      <c r="A2312" s="7">
        <v>46141</v>
      </c>
      <c r="B2312" s="8">
        <v>75</v>
      </c>
    </row>
    <row r="2313" spans="1:2">
      <c r="A2313" s="7">
        <v>46142</v>
      </c>
      <c r="B2313" s="8">
        <v>75</v>
      </c>
    </row>
    <row r="2314" spans="1:2">
      <c r="A2314" s="7">
        <v>46143</v>
      </c>
      <c r="B2314" s="8">
        <v>75</v>
      </c>
    </row>
    <row r="2315" spans="1:2">
      <c r="A2315" s="7">
        <v>46144</v>
      </c>
      <c r="B2315" s="8">
        <v>75</v>
      </c>
    </row>
    <row r="2316" spans="1:2">
      <c r="A2316" s="7">
        <v>46145</v>
      </c>
      <c r="B2316" s="8">
        <v>75</v>
      </c>
    </row>
    <row r="2317" spans="1:2">
      <c r="A2317" s="7">
        <v>46146</v>
      </c>
      <c r="B2317" s="8">
        <v>75</v>
      </c>
    </row>
    <row r="2318" spans="1:2">
      <c r="A2318" s="7">
        <v>46147</v>
      </c>
      <c r="B2318" s="8">
        <v>75</v>
      </c>
    </row>
    <row r="2319" spans="1:2">
      <c r="A2319" s="7">
        <v>46148</v>
      </c>
      <c r="B2319" s="8">
        <v>75</v>
      </c>
    </row>
    <row r="2320" spans="1:2">
      <c r="A2320" s="7">
        <v>46149</v>
      </c>
      <c r="B2320" s="8">
        <v>75</v>
      </c>
    </row>
    <row r="2321" spans="1:2">
      <c r="A2321" s="7">
        <v>46150</v>
      </c>
      <c r="B2321" s="8">
        <v>75</v>
      </c>
    </row>
    <row r="2322" spans="1:2">
      <c r="A2322" s="7">
        <v>46151</v>
      </c>
      <c r="B2322" s="8">
        <v>75</v>
      </c>
    </row>
    <row r="2323" spans="1:2">
      <c r="A2323" s="7">
        <v>46152</v>
      </c>
      <c r="B2323" s="8">
        <v>75</v>
      </c>
    </row>
    <row r="2324" spans="1:2">
      <c r="A2324" s="7">
        <v>46153</v>
      </c>
      <c r="B2324" s="8">
        <v>75</v>
      </c>
    </row>
    <row r="2325" spans="1:2">
      <c r="A2325" s="7">
        <v>46154</v>
      </c>
      <c r="B2325" s="8">
        <v>75</v>
      </c>
    </row>
    <row r="2326" spans="1:2">
      <c r="A2326" s="7">
        <v>46155</v>
      </c>
      <c r="B2326" s="8">
        <v>75</v>
      </c>
    </row>
    <row r="2327" spans="1:2">
      <c r="A2327" s="7">
        <v>46156</v>
      </c>
      <c r="B2327" s="8">
        <v>75</v>
      </c>
    </row>
    <row r="2328" spans="1:2">
      <c r="A2328" s="7">
        <v>46157</v>
      </c>
      <c r="B2328" s="8">
        <v>75</v>
      </c>
    </row>
    <row r="2329" spans="1:2">
      <c r="A2329" s="7">
        <v>46158</v>
      </c>
      <c r="B2329" s="8">
        <v>75</v>
      </c>
    </row>
    <row r="2330" spans="1:2">
      <c r="A2330" s="7">
        <v>46159</v>
      </c>
      <c r="B2330" s="8">
        <v>75</v>
      </c>
    </row>
    <row r="2331" spans="1:2">
      <c r="A2331" s="7">
        <v>46160</v>
      </c>
      <c r="B2331" s="8">
        <v>75</v>
      </c>
    </row>
    <row r="2332" spans="1:2">
      <c r="A2332" s="7">
        <v>46161</v>
      </c>
      <c r="B2332" s="8">
        <v>75</v>
      </c>
    </row>
    <row r="2333" spans="1:2">
      <c r="A2333" s="7">
        <v>46162</v>
      </c>
      <c r="B2333" s="8">
        <v>75</v>
      </c>
    </row>
    <row r="2334" spans="1:2">
      <c r="A2334" s="7">
        <v>46163</v>
      </c>
      <c r="B2334" s="8">
        <v>75</v>
      </c>
    </row>
    <row r="2335" spans="1:2">
      <c r="A2335" s="7">
        <v>46164</v>
      </c>
      <c r="B2335" s="8">
        <v>75</v>
      </c>
    </row>
    <row r="2336" spans="1:2">
      <c r="A2336" s="7">
        <v>46165</v>
      </c>
      <c r="B2336" s="8">
        <v>75</v>
      </c>
    </row>
    <row r="2337" spans="1:2">
      <c r="A2337" s="7">
        <v>46166</v>
      </c>
      <c r="B2337" s="8">
        <v>75</v>
      </c>
    </row>
    <row r="2338" spans="1:2">
      <c r="A2338" s="7">
        <v>46167</v>
      </c>
      <c r="B2338" s="8">
        <v>75</v>
      </c>
    </row>
    <row r="2339" spans="1:2">
      <c r="A2339" s="7">
        <v>46168</v>
      </c>
      <c r="B2339" s="8">
        <v>75</v>
      </c>
    </row>
    <row r="2340" spans="1:2">
      <c r="A2340" s="7">
        <v>46169</v>
      </c>
      <c r="B2340" s="8">
        <v>75</v>
      </c>
    </row>
    <row r="2341" spans="1:2">
      <c r="A2341" s="7">
        <v>46170</v>
      </c>
      <c r="B2341" s="8">
        <v>75</v>
      </c>
    </row>
    <row r="2342" spans="1:2">
      <c r="A2342" s="7">
        <v>46171</v>
      </c>
      <c r="B2342" s="8">
        <v>75</v>
      </c>
    </row>
    <row r="2343" spans="1:2">
      <c r="A2343" s="7">
        <v>46172</v>
      </c>
      <c r="B2343" s="8">
        <v>75</v>
      </c>
    </row>
    <row r="2344" spans="1:2">
      <c r="A2344" s="7">
        <v>46173</v>
      </c>
      <c r="B2344" s="8">
        <v>75</v>
      </c>
    </row>
    <row r="2345" spans="1:2">
      <c r="A2345" s="7">
        <v>46174</v>
      </c>
      <c r="B2345" s="8">
        <v>75</v>
      </c>
    </row>
    <row r="2346" spans="1:2">
      <c r="A2346" s="7">
        <v>46175</v>
      </c>
      <c r="B2346" s="8">
        <v>75</v>
      </c>
    </row>
    <row r="2347" spans="1:2">
      <c r="A2347" s="7">
        <v>46176</v>
      </c>
      <c r="B2347" s="8">
        <v>75</v>
      </c>
    </row>
    <row r="2348" spans="1:2">
      <c r="A2348" s="7">
        <v>46177</v>
      </c>
      <c r="B2348" s="8">
        <v>75</v>
      </c>
    </row>
    <row r="2349" spans="1:2">
      <c r="A2349" s="7">
        <v>46178</v>
      </c>
      <c r="B2349" s="8">
        <v>75</v>
      </c>
    </row>
    <row r="2350" spans="1:2">
      <c r="A2350" s="7">
        <v>46179</v>
      </c>
      <c r="B2350" s="8">
        <v>75</v>
      </c>
    </row>
    <row r="2351" spans="1:2">
      <c r="A2351" s="7">
        <v>46180</v>
      </c>
      <c r="B2351" s="8">
        <v>75</v>
      </c>
    </row>
    <row r="2352" spans="1:2">
      <c r="A2352" s="7">
        <v>46181</v>
      </c>
      <c r="B2352" s="8">
        <v>75</v>
      </c>
    </row>
    <row r="2353" spans="1:2">
      <c r="A2353" s="7">
        <v>46182</v>
      </c>
      <c r="B2353" s="8">
        <v>75</v>
      </c>
    </row>
    <row r="2354" spans="1:2">
      <c r="A2354" s="7">
        <v>46183</v>
      </c>
      <c r="B2354" s="8">
        <v>75</v>
      </c>
    </row>
    <row r="2355" spans="1:2">
      <c r="A2355" s="7">
        <v>46184</v>
      </c>
      <c r="B2355" s="8">
        <v>75</v>
      </c>
    </row>
    <row r="2356" spans="1:2">
      <c r="A2356" s="7">
        <v>46185</v>
      </c>
      <c r="B2356" s="8">
        <v>75</v>
      </c>
    </row>
    <row r="2357" spans="1:2">
      <c r="A2357" s="7">
        <v>46186</v>
      </c>
      <c r="B2357" s="8">
        <v>75</v>
      </c>
    </row>
    <row r="2358" spans="1:2">
      <c r="A2358" s="7">
        <v>46187</v>
      </c>
      <c r="B2358" s="8">
        <v>75</v>
      </c>
    </row>
    <row r="2359" spans="1:2">
      <c r="A2359" s="7">
        <v>46188</v>
      </c>
      <c r="B2359" s="8">
        <v>75</v>
      </c>
    </row>
    <row r="2360" spans="1:2">
      <c r="A2360" s="7">
        <v>46189</v>
      </c>
      <c r="B2360" s="8">
        <v>75</v>
      </c>
    </row>
    <row r="2361" spans="1:2">
      <c r="A2361" s="7">
        <v>46190</v>
      </c>
      <c r="B2361" s="8">
        <v>75</v>
      </c>
    </row>
    <row r="2362" spans="1:2">
      <c r="A2362" s="7">
        <v>46191</v>
      </c>
      <c r="B2362" s="8">
        <v>75</v>
      </c>
    </row>
    <row r="2363" spans="1:2">
      <c r="A2363" s="7">
        <v>46192</v>
      </c>
      <c r="B2363" s="8">
        <v>75</v>
      </c>
    </row>
    <row r="2364" spans="1:2">
      <c r="A2364" s="7">
        <v>46193</v>
      </c>
      <c r="B2364" s="8">
        <v>75</v>
      </c>
    </row>
    <row r="2365" spans="1:2">
      <c r="A2365" s="7">
        <v>46194</v>
      </c>
      <c r="B2365" s="8">
        <v>75</v>
      </c>
    </row>
    <row r="2366" spans="1:2">
      <c r="A2366" s="7">
        <v>46195</v>
      </c>
      <c r="B2366" s="8">
        <v>75</v>
      </c>
    </row>
    <row r="2367" spans="1:2">
      <c r="A2367" s="7">
        <v>46196</v>
      </c>
      <c r="B2367" s="8">
        <v>75</v>
      </c>
    </row>
    <row r="2368" spans="1:2">
      <c r="A2368" s="7">
        <v>46197</v>
      </c>
      <c r="B2368" s="8">
        <v>75</v>
      </c>
    </row>
    <row r="2369" spans="1:2">
      <c r="A2369" s="7">
        <v>46198</v>
      </c>
      <c r="B2369" s="8">
        <v>75</v>
      </c>
    </row>
    <row r="2370" spans="1:2">
      <c r="A2370" s="7">
        <v>46199</v>
      </c>
      <c r="B2370" s="8">
        <v>75</v>
      </c>
    </row>
    <row r="2371" spans="1:2">
      <c r="A2371" s="7">
        <v>46200</v>
      </c>
      <c r="B2371" s="8">
        <v>75</v>
      </c>
    </row>
    <row r="2372" spans="1:2">
      <c r="A2372" s="7">
        <v>46201</v>
      </c>
      <c r="B2372" s="8">
        <v>75</v>
      </c>
    </row>
    <row r="2373" spans="1:2">
      <c r="A2373" s="7">
        <v>46202</v>
      </c>
      <c r="B2373" s="8">
        <v>75</v>
      </c>
    </row>
    <row r="2374" spans="1:2">
      <c r="A2374" s="7">
        <v>46203</v>
      </c>
      <c r="B2374" s="8">
        <v>75</v>
      </c>
    </row>
    <row r="2375" spans="1:2">
      <c r="A2375" s="7">
        <v>46204</v>
      </c>
      <c r="B2375" s="8">
        <v>75</v>
      </c>
    </row>
    <row r="2376" spans="1:2">
      <c r="A2376" s="7">
        <v>46205</v>
      </c>
      <c r="B2376" s="8">
        <v>75</v>
      </c>
    </row>
    <row r="2377" spans="1:2">
      <c r="A2377" s="7">
        <v>46206</v>
      </c>
      <c r="B2377" s="8">
        <v>75</v>
      </c>
    </row>
    <row r="2378" spans="1:2">
      <c r="A2378" s="7">
        <v>46207</v>
      </c>
      <c r="B2378" s="8">
        <v>75</v>
      </c>
    </row>
    <row r="2379" spans="1:2">
      <c r="A2379" s="7">
        <v>46208</v>
      </c>
      <c r="B2379" s="8">
        <v>75</v>
      </c>
    </row>
    <row r="2380" spans="1:2">
      <c r="A2380" s="7">
        <v>46209</v>
      </c>
      <c r="B2380" s="8">
        <v>75</v>
      </c>
    </row>
    <row r="2381" spans="1:2">
      <c r="A2381" s="7">
        <v>46210</v>
      </c>
      <c r="B2381" s="8">
        <v>75</v>
      </c>
    </row>
    <row r="2382" spans="1:2">
      <c r="A2382" s="7">
        <v>46211</v>
      </c>
      <c r="B2382" s="8">
        <v>75</v>
      </c>
    </row>
    <row r="2383" spans="1:2">
      <c r="A2383" s="7">
        <v>46212</v>
      </c>
      <c r="B2383" s="8">
        <v>75</v>
      </c>
    </row>
    <row r="2384" spans="1:2">
      <c r="A2384" s="7">
        <v>46213</v>
      </c>
      <c r="B2384" s="8">
        <v>75</v>
      </c>
    </row>
    <row r="2385" spans="1:2">
      <c r="A2385" s="7">
        <v>46214</v>
      </c>
      <c r="B2385" s="8">
        <v>75</v>
      </c>
    </row>
    <row r="2386" spans="1:2">
      <c r="A2386" s="7">
        <v>46215</v>
      </c>
      <c r="B2386" s="8">
        <v>75</v>
      </c>
    </row>
    <row r="2387" spans="1:2">
      <c r="A2387" s="7">
        <v>46216</v>
      </c>
      <c r="B2387" s="8">
        <v>75</v>
      </c>
    </row>
    <row r="2388" spans="1:2">
      <c r="A2388" s="7">
        <v>46217</v>
      </c>
      <c r="B2388" s="8">
        <v>75</v>
      </c>
    </row>
    <row r="2389" spans="1:2">
      <c r="A2389" s="7">
        <v>46218</v>
      </c>
      <c r="B2389" s="8">
        <v>75</v>
      </c>
    </row>
    <row r="2390" spans="1:2">
      <c r="A2390" s="7">
        <v>46219</v>
      </c>
      <c r="B2390" s="8">
        <v>75</v>
      </c>
    </row>
    <row r="2391" spans="1:2">
      <c r="A2391" s="7">
        <v>46220</v>
      </c>
      <c r="B2391" s="8">
        <v>75</v>
      </c>
    </row>
    <row r="2392" spans="1:2">
      <c r="A2392" s="7">
        <v>46221</v>
      </c>
      <c r="B2392" s="8">
        <v>75</v>
      </c>
    </row>
    <row r="2393" spans="1:2">
      <c r="A2393" s="7">
        <v>46222</v>
      </c>
      <c r="B2393" s="8">
        <v>75</v>
      </c>
    </row>
    <row r="2394" spans="1:2">
      <c r="A2394" s="7">
        <v>46223</v>
      </c>
      <c r="B2394" s="8">
        <v>75</v>
      </c>
    </row>
    <row r="2395" spans="1:2">
      <c r="A2395" s="7">
        <v>46224</v>
      </c>
      <c r="B2395" s="8">
        <v>75</v>
      </c>
    </row>
    <row r="2396" spans="1:2">
      <c r="A2396" s="7">
        <v>46225</v>
      </c>
      <c r="B2396" s="8">
        <v>75</v>
      </c>
    </row>
    <row r="2397" spans="1:2">
      <c r="A2397" s="7">
        <v>46226</v>
      </c>
      <c r="B2397" s="8">
        <v>75</v>
      </c>
    </row>
    <row r="2398" spans="1:2">
      <c r="A2398" s="7">
        <v>46227</v>
      </c>
      <c r="B2398" s="8">
        <v>75</v>
      </c>
    </row>
    <row r="2399" spans="1:2">
      <c r="A2399" s="7">
        <v>46228</v>
      </c>
      <c r="B2399" s="8">
        <v>75</v>
      </c>
    </row>
    <row r="2400" spans="1:2">
      <c r="A2400" s="7">
        <v>46229</v>
      </c>
      <c r="B2400" s="8">
        <v>75</v>
      </c>
    </row>
    <row r="2401" spans="1:2">
      <c r="A2401" s="7">
        <v>46230</v>
      </c>
      <c r="B2401" s="8">
        <v>75</v>
      </c>
    </row>
    <row r="2402" spans="1:2">
      <c r="A2402" s="7">
        <v>46231</v>
      </c>
      <c r="B2402" s="8">
        <v>75</v>
      </c>
    </row>
    <row r="2403" spans="1:2">
      <c r="A2403" s="7">
        <v>46232</v>
      </c>
      <c r="B2403" s="8">
        <v>75</v>
      </c>
    </row>
    <row r="2404" spans="1:2">
      <c r="A2404" s="7">
        <v>46233</v>
      </c>
      <c r="B2404" s="8">
        <v>75</v>
      </c>
    </row>
    <row r="2405" spans="1:2">
      <c r="A2405" s="7">
        <v>46234</v>
      </c>
      <c r="B2405" s="8">
        <v>75</v>
      </c>
    </row>
    <row r="2406" spans="1:2">
      <c r="A2406" s="7">
        <v>46235</v>
      </c>
      <c r="B2406" s="8">
        <v>75</v>
      </c>
    </row>
    <row r="2407" spans="1:2">
      <c r="A2407" s="7">
        <v>46236</v>
      </c>
      <c r="B2407" s="8">
        <v>75</v>
      </c>
    </row>
    <row r="2408" spans="1:2">
      <c r="A2408" s="7">
        <v>46237</v>
      </c>
      <c r="B2408" s="8">
        <v>75</v>
      </c>
    </row>
    <row r="2409" spans="1:2">
      <c r="A2409" s="7">
        <v>46238</v>
      </c>
      <c r="B2409" s="8">
        <v>75</v>
      </c>
    </row>
    <row r="2410" spans="1:2">
      <c r="A2410" s="7">
        <v>46239</v>
      </c>
      <c r="B2410" s="8">
        <v>75</v>
      </c>
    </row>
    <row r="2411" spans="1:2">
      <c r="A2411" s="7">
        <v>46240</v>
      </c>
      <c r="B2411" s="8">
        <v>75</v>
      </c>
    </row>
    <row r="2412" spans="1:2">
      <c r="A2412" s="7">
        <v>46241</v>
      </c>
      <c r="B2412" s="8">
        <v>75</v>
      </c>
    </row>
    <row r="2413" spans="1:2">
      <c r="A2413" s="7">
        <v>46242</v>
      </c>
      <c r="B2413" s="8">
        <v>75</v>
      </c>
    </row>
    <row r="2414" spans="1:2">
      <c r="A2414" s="7">
        <v>46243</v>
      </c>
      <c r="B2414" s="8">
        <v>75</v>
      </c>
    </row>
    <row r="2415" spans="1:2">
      <c r="A2415" s="7">
        <v>46244</v>
      </c>
      <c r="B2415" s="8">
        <v>75</v>
      </c>
    </row>
    <row r="2416" spans="1:2">
      <c r="A2416" s="7">
        <v>46245</v>
      </c>
      <c r="B2416" s="8">
        <v>75</v>
      </c>
    </row>
    <row r="2417" spans="1:2">
      <c r="A2417" s="7">
        <v>46246</v>
      </c>
      <c r="B2417" s="8">
        <v>75</v>
      </c>
    </row>
    <row r="2418" spans="1:2">
      <c r="A2418" s="7">
        <v>46247</v>
      </c>
      <c r="B2418" s="8">
        <v>75</v>
      </c>
    </row>
    <row r="2419" spans="1:2">
      <c r="A2419" s="7">
        <v>46248</v>
      </c>
      <c r="B2419" s="8">
        <v>75</v>
      </c>
    </row>
    <row r="2420" spans="1:2">
      <c r="A2420" s="7">
        <v>46249</v>
      </c>
      <c r="B2420" s="8">
        <v>75</v>
      </c>
    </row>
    <row r="2421" spans="1:2">
      <c r="A2421" s="7">
        <v>46250</v>
      </c>
      <c r="B2421" s="8">
        <v>75</v>
      </c>
    </row>
    <row r="2422" spans="1:2">
      <c r="A2422" s="7">
        <v>46251</v>
      </c>
      <c r="B2422" s="8">
        <v>75</v>
      </c>
    </row>
    <row r="2423" spans="1:2">
      <c r="A2423" s="7">
        <v>46252</v>
      </c>
      <c r="B2423" s="8">
        <v>75</v>
      </c>
    </row>
    <row r="2424" spans="1:2">
      <c r="A2424" s="7">
        <v>46253</v>
      </c>
      <c r="B2424" s="8">
        <v>75</v>
      </c>
    </row>
    <row r="2425" spans="1:2">
      <c r="A2425" s="7">
        <v>46254</v>
      </c>
      <c r="B2425" s="8">
        <v>75</v>
      </c>
    </row>
    <row r="2426" spans="1:2">
      <c r="A2426" s="7">
        <v>46255</v>
      </c>
      <c r="B2426" s="8">
        <v>75</v>
      </c>
    </row>
    <row r="2427" spans="1:2">
      <c r="A2427" s="7">
        <v>46256</v>
      </c>
      <c r="B2427" s="8">
        <v>75</v>
      </c>
    </row>
    <row r="2428" spans="1:2">
      <c r="A2428" s="7">
        <v>46257</v>
      </c>
      <c r="B2428" s="8">
        <v>75</v>
      </c>
    </row>
    <row r="2429" spans="1:2">
      <c r="A2429" s="7">
        <v>46258</v>
      </c>
      <c r="B2429" s="8">
        <v>75</v>
      </c>
    </row>
    <row r="2430" spans="1:2">
      <c r="A2430" s="7">
        <v>46259</v>
      </c>
      <c r="B2430" s="8">
        <v>75</v>
      </c>
    </row>
    <row r="2431" spans="1:2">
      <c r="A2431" s="7">
        <v>46260</v>
      </c>
      <c r="B2431" s="8">
        <v>75</v>
      </c>
    </row>
    <row r="2432" spans="1:2">
      <c r="A2432" s="7">
        <v>46261</v>
      </c>
      <c r="B2432" s="8">
        <v>75</v>
      </c>
    </row>
    <row r="2433" spans="1:2">
      <c r="A2433" s="7">
        <v>46262</v>
      </c>
      <c r="B2433" s="8">
        <v>75</v>
      </c>
    </row>
    <row r="2434" spans="1:2">
      <c r="A2434" s="7">
        <v>46263</v>
      </c>
      <c r="B2434" s="8">
        <v>75</v>
      </c>
    </row>
    <row r="2435" spans="1:2">
      <c r="A2435" s="7">
        <v>46264</v>
      </c>
      <c r="B2435" s="8">
        <v>75</v>
      </c>
    </row>
    <row r="2436" spans="1:2">
      <c r="A2436" s="7">
        <v>46265</v>
      </c>
      <c r="B2436" s="8">
        <v>75</v>
      </c>
    </row>
    <row r="2437" spans="1:2">
      <c r="A2437" s="7">
        <v>46266</v>
      </c>
      <c r="B2437" s="8">
        <v>75</v>
      </c>
    </row>
    <row r="2438" spans="1:2">
      <c r="A2438" s="7">
        <v>46267</v>
      </c>
      <c r="B2438" s="8">
        <v>75</v>
      </c>
    </row>
    <row r="2439" spans="1:2">
      <c r="A2439" s="7">
        <v>46268</v>
      </c>
      <c r="B2439" s="8">
        <v>75</v>
      </c>
    </row>
    <row r="2440" spans="1:2">
      <c r="A2440" s="7">
        <v>46269</v>
      </c>
      <c r="B2440" s="8">
        <v>75</v>
      </c>
    </row>
    <row r="2441" spans="1:2">
      <c r="A2441" s="7">
        <v>46270</v>
      </c>
      <c r="B2441" s="8">
        <v>75</v>
      </c>
    </row>
    <row r="2442" spans="1:2">
      <c r="A2442" s="7">
        <v>46271</v>
      </c>
      <c r="B2442" s="8">
        <v>75</v>
      </c>
    </row>
    <row r="2443" spans="1:2">
      <c r="A2443" s="7">
        <v>46272</v>
      </c>
      <c r="B2443" s="8">
        <v>75</v>
      </c>
    </row>
    <row r="2444" spans="1:2">
      <c r="A2444" s="7">
        <v>46273</v>
      </c>
      <c r="B2444" s="8">
        <v>75</v>
      </c>
    </row>
    <row r="2445" spans="1:2">
      <c r="A2445" s="7">
        <v>46274</v>
      </c>
      <c r="B2445" s="8">
        <v>75</v>
      </c>
    </row>
    <row r="2446" spans="1:2">
      <c r="A2446" s="7">
        <v>46275</v>
      </c>
      <c r="B2446" s="8">
        <v>75</v>
      </c>
    </row>
    <row r="2447" spans="1:2">
      <c r="A2447" s="7">
        <v>46276</v>
      </c>
      <c r="B2447" s="8">
        <v>75</v>
      </c>
    </row>
    <row r="2448" spans="1:2">
      <c r="A2448" s="7">
        <v>46277</v>
      </c>
      <c r="B2448" s="8">
        <v>75</v>
      </c>
    </row>
    <row r="2449" spans="1:2">
      <c r="A2449" s="7">
        <v>46278</v>
      </c>
      <c r="B2449" s="8">
        <v>75</v>
      </c>
    </row>
    <row r="2450" spans="1:2">
      <c r="A2450" s="7">
        <v>46279</v>
      </c>
      <c r="B2450" s="8">
        <v>75</v>
      </c>
    </row>
    <row r="2451" spans="1:2">
      <c r="A2451" s="7">
        <v>46280</v>
      </c>
      <c r="B2451" s="8">
        <v>75</v>
      </c>
    </row>
    <row r="2452" spans="1:2">
      <c r="A2452" s="7">
        <v>46281</v>
      </c>
      <c r="B2452" s="8">
        <v>75</v>
      </c>
    </row>
    <row r="2453" spans="1:2">
      <c r="A2453" s="7">
        <v>46282</v>
      </c>
      <c r="B2453" s="8">
        <v>75</v>
      </c>
    </row>
    <row r="2454" spans="1:2">
      <c r="A2454" s="7">
        <v>46283</v>
      </c>
      <c r="B2454" s="8">
        <v>75</v>
      </c>
    </row>
    <row r="2455" spans="1:2">
      <c r="A2455" s="7">
        <v>46284</v>
      </c>
      <c r="B2455" s="8">
        <v>75</v>
      </c>
    </row>
    <row r="2456" spans="1:2">
      <c r="A2456" s="7">
        <v>46285</v>
      </c>
      <c r="B2456" s="8">
        <v>75</v>
      </c>
    </row>
    <row r="2457" spans="1:2">
      <c r="A2457" s="7">
        <v>46286</v>
      </c>
      <c r="B2457" s="8">
        <v>75</v>
      </c>
    </row>
    <row r="2458" spans="1:2">
      <c r="A2458" s="7">
        <v>46287</v>
      </c>
      <c r="B2458" s="8">
        <v>75</v>
      </c>
    </row>
    <row r="2459" spans="1:2">
      <c r="A2459" s="7">
        <v>46288</v>
      </c>
      <c r="B2459" s="8">
        <v>75</v>
      </c>
    </row>
    <row r="2460" spans="1:2">
      <c r="A2460" s="7">
        <v>46289</v>
      </c>
      <c r="B2460" s="8">
        <v>75</v>
      </c>
    </row>
    <row r="2461" spans="1:2">
      <c r="A2461" s="7">
        <v>46290</v>
      </c>
      <c r="B2461" s="8">
        <v>75</v>
      </c>
    </row>
    <row r="2462" spans="1:2">
      <c r="A2462" s="7">
        <v>46291</v>
      </c>
      <c r="B2462" s="8">
        <v>75</v>
      </c>
    </row>
    <row r="2463" spans="1:2">
      <c r="A2463" s="7">
        <v>46292</v>
      </c>
      <c r="B2463" s="8">
        <v>75</v>
      </c>
    </row>
    <row r="2464" spans="1:2">
      <c r="A2464" s="7">
        <v>46293</v>
      </c>
      <c r="B2464" s="8">
        <v>75</v>
      </c>
    </row>
    <row r="2465" spans="1:2">
      <c r="A2465" s="7">
        <v>46294</v>
      </c>
      <c r="B2465" s="8">
        <v>75</v>
      </c>
    </row>
    <row r="2466" spans="1:2">
      <c r="A2466" s="7">
        <v>46295</v>
      </c>
      <c r="B2466" s="8">
        <v>75</v>
      </c>
    </row>
    <row r="2467" spans="1:2">
      <c r="A2467" s="7">
        <v>46296</v>
      </c>
      <c r="B2467" s="8">
        <v>75</v>
      </c>
    </row>
    <row r="2468" spans="1:2">
      <c r="A2468" s="7">
        <v>46297</v>
      </c>
      <c r="B2468" s="8">
        <v>75</v>
      </c>
    </row>
    <row r="2469" spans="1:2">
      <c r="A2469" s="7">
        <v>46298</v>
      </c>
      <c r="B2469" s="8">
        <v>75</v>
      </c>
    </row>
    <row r="2470" spans="1:2">
      <c r="A2470" s="7">
        <v>46299</v>
      </c>
      <c r="B2470" s="8">
        <v>75</v>
      </c>
    </row>
    <row r="2471" spans="1:2">
      <c r="A2471" s="7">
        <v>46300</v>
      </c>
      <c r="B2471" s="8">
        <v>75</v>
      </c>
    </row>
    <row r="2472" spans="1:2">
      <c r="A2472" s="7">
        <v>46301</v>
      </c>
      <c r="B2472" s="8">
        <v>75</v>
      </c>
    </row>
    <row r="2473" spans="1:2">
      <c r="A2473" s="7">
        <v>46302</v>
      </c>
      <c r="B2473" s="8">
        <v>75</v>
      </c>
    </row>
    <row r="2474" spans="1:2">
      <c r="A2474" s="7">
        <v>46303</v>
      </c>
      <c r="B2474" s="8">
        <v>75</v>
      </c>
    </row>
    <row r="2475" spans="1:2">
      <c r="A2475" s="7">
        <v>46304</v>
      </c>
      <c r="B2475" s="8">
        <v>75</v>
      </c>
    </row>
    <row r="2476" spans="1:2">
      <c r="A2476" s="7">
        <v>46305</v>
      </c>
      <c r="B2476" s="8">
        <v>75</v>
      </c>
    </row>
    <row r="2477" spans="1:2">
      <c r="A2477" s="7">
        <v>46306</v>
      </c>
      <c r="B2477" s="8">
        <v>75</v>
      </c>
    </row>
    <row r="2478" spans="1:2">
      <c r="A2478" s="7">
        <v>46307</v>
      </c>
      <c r="B2478" s="8">
        <v>75</v>
      </c>
    </row>
    <row r="2479" spans="1:2">
      <c r="A2479" s="7">
        <v>46308</v>
      </c>
      <c r="B2479" s="8">
        <v>75</v>
      </c>
    </row>
    <row r="2480" spans="1:2">
      <c r="A2480" s="7">
        <v>46309</v>
      </c>
      <c r="B2480" s="8">
        <v>75</v>
      </c>
    </row>
    <row r="2481" spans="1:2">
      <c r="A2481" s="7">
        <v>46310</v>
      </c>
      <c r="B2481" s="8">
        <v>75</v>
      </c>
    </row>
    <row r="2482" spans="1:2">
      <c r="A2482" s="7">
        <v>46311</v>
      </c>
      <c r="B2482" s="8">
        <v>75</v>
      </c>
    </row>
    <row r="2483" spans="1:2">
      <c r="A2483" s="7">
        <v>46312</v>
      </c>
      <c r="B2483" s="8">
        <v>75</v>
      </c>
    </row>
    <row r="2484" spans="1:2">
      <c r="A2484" s="7">
        <v>46313</v>
      </c>
      <c r="B2484" s="8">
        <v>75</v>
      </c>
    </row>
    <row r="2485" spans="1:2">
      <c r="A2485" s="7">
        <v>46314</v>
      </c>
      <c r="B2485" s="8">
        <v>75</v>
      </c>
    </row>
    <row r="2486" spans="1:2">
      <c r="A2486" s="7">
        <v>46315</v>
      </c>
      <c r="B2486" s="8">
        <v>75</v>
      </c>
    </row>
    <row r="2487" spans="1:2">
      <c r="A2487" s="7">
        <v>46316</v>
      </c>
      <c r="B2487" s="8">
        <v>75</v>
      </c>
    </row>
    <row r="2488" spans="1:2">
      <c r="A2488" s="7">
        <v>46317</v>
      </c>
      <c r="B2488" s="8">
        <v>75</v>
      </c>
    </row>
    <row r="2489" spans="1:2">
      <c r="A2489" s="7">
        <v>46318</v>
      </c>
      <c r="B2489" s="8">
        <v>75</v>
      </c>
    </row>
    <row r="2490" spans="1:2">
      <c r="A2490" s="7">
        <v>46319</v>
      </c>
      <c r="B2490" s="8">
        <v>75</v>
      </c>
    </row>
    <row r="2491" spans="1:2">
      <c r="A2491" s="7">
        <v>46320</v>
      </c>
      <c r="B2491" s="8">
        <v>75</v>
      </c>
    </row>
    <row r="2492" spans="1:2">
      <c r="A2492" s="7">
        <v>46321</v>
      </c>
      <c r="B2492" s="8">
        <v>75</v>
      </c>
    </row>
    <row r="2493" spans="1:2">
      <c r="A2493" s="7">
        <v>46322</v>
      </c>
      <c r="B2493" s="8">
        <v>75</v>
      </c>
    </row>
    <row r="2494" spans="1:2">
      <c r="A2494" s="7">
        <v>46323</v>
      </c>
      <c r="B2494" s="8">
        <v>75</v>
      </c>
    </row>
    <row r="2495" spans="1:2">
      <c r="A2495" s="7">
        <v>46324</v>
      </c>
      <c r="B2495" s="8">
        <v>75</v>
      </c>
    </row>
    <row r="2496" spans="1:2">
      <c r="A2496" s="7">
        <v>46325</v>
      </c>
      <c r="B2496" s="8">
        <v>75</v>
      </c>
    </row>
    <row r="2497" spans="1:2">
      <c r="A2497" s="7">
        <v>46326</v>
      </c>
      <c r="B2497" s="8">
        <v>75</v>
      </c>
    </row>
    <row r="2498" spans="1:2">
      <c r="A2498" s="7">
        <v>46327</v>
      </c>
      <c r="B2498" s="8">
        <v>75</v>
      </c>
    </row>
    <row r="2499" spans="1:2">
      <c r="A2499" s="7">
        <v>46328</v>
      </c>
      <c r="B2499" s="8">
        <v>75</v>
      </c>
    </row>
    <row r="2500" spans="1:2">
      <c r="A2500" s="7">
        <v>46329</v>
      </c>
      <c r="B2500" s="8">
        <v>75</v>
      </c>
    </row>
    <row r="2501" spans="1:2">
      <c r="A2501" s="7">
        <v>46330</v>
      </c>
      <c r="B2501" s="8">
        <v>75</v>
      </c>
    </row>
    <row r="2502" spans="1:2">
      <c r="A2502" s="7">
        <v>46331</v>
      </c>
      <c r="B2502" s="8">
        <v>75</v>
      </c>
    </row>
    <row r="2503" spans="1:2">
      <c r="A2503" s="7">
        <v>46332</v>
      </c>
      <c r="B2503" s="8">
        <v>75</v>
      </c>
    </row>
    <row r="2504" spans="1:2">
      <c r="A2504" s="7">
        <v>46333</v>
      </c>
      <c r="B2504" s="8">
        <v>75</v>
      </c>
    </row>
    <row r="2505" spans="1:2">
      <c r="A2505" s="7">
        <v>46334</v>
      </c>
      <c r="B2505" s="8">
        <v>75</v>
      </c>
    </row>
    <row r="2506" spans="1:2">
      <c r="A2506" s="7">
        <v>46335</v>
      </c>
      <c r="B2506" s="8">
        <v>75</v>
      </c>
    </row>
    <row r="2507" spans="1:2">
      <c r="A2507" s="7">
        <v>46336</v>
      </c>
      <c r="B2507" s="8">
        <v>75</v>
      </c>
    </row>
    <row r="2508" spans="1:2">
      <c r="A2508" s="7">
        <v>46337</v>
      </c>
      <c r="B2508" s="8">
        <v>75</v>
      </c>
    </row>
    <row r="2509" spans="1:2">
      <c r="A2509" s="7">
        <v>46338</v>
      </c>
      <c r="B2509" s="8">
        <v>75</v>
      </c>
    </row>
    <row r="2510" spans="1:2">
      <c r="A2510" s="7">
        <v>46339</v>
      </c>
      <c r="B2510" s="8">
        <v>75</v>
      </c>
    </row>
    <row r="2511" spans="1:2">
      <c r="A2511" s="7">
        <v>46340</v>
      </c>
      <c r="B2511" s="8">
        <v>75</v>
      </c>
    </row>
    <row r="2512" spans="1:2">
      <c r="A2512" s="7">
        <v>46341</v>
      </c>
      <c r="B2512" s="8">
        <v>75</v>
      </c>
    </row>
    <row r="2513" spans="1:2">
      <c r="A2513" s="7">
        <v>46342</v>
      </c>
      <c r="B2513" s="8">
        <v>75</v>
      </c>
    </row>
    <row r="2514" spans="1:2">
      <c r="A2514" s="7">
        <v>46343</v>
      </c>
      <c r="B2514" s="8">
        <v>75</v>
      </c>
    </row>
    <row r="2515" spans="1:2">
      <c r="A2515" s="7">
        <v>46344</v>
      </c>
      <c r="B2515" s="8">
        <v>75</v>
      </c>
    </row>
    <row r="2516" spans="1:2">
      <c r="A2516" s="7">
        <v>46345</v>
      </c>
      <c r="B2516" s="8">
        <v>75</v>
      </c>
    </row>
    <row r="2517" spans="1:2">
      <c r="A2517" s="7">
        <v>46346</v>
      </c>
      <c r="B2517" s="8">
        <v>75</v>
      </c>
    </row>
    <row r="2518" spans="1:2">
      <c r="A2518" s="7">
        <v>46347</v>
      </c>
      <c r="B2518" s="8">
        <v>75</v>
      </c>
    </row>
    <row r="2519" spans="1:2">
      <c r="A2519" s="7">
        <v>46348</v>
      </c>
      <c r="B2519" s="8">
        <v>75</v>
      </c>
    </row>
    <row r="2520" spans="1:2">
      <c r="A2520" s="7">
        <v>46349</v>
      </c>
      <c r="B2520" s="8">
        <v>75</v>
      </c>
    </row>
    <row r="2521" spans="1:2">
      <c r="A2521" s="7">
        <v>46350</v>
      </c>
      <c r="B2521" s="8">
        <v>75</v>
      </c>
    </row>
    <row r="2522" spans="1:2">
      <c r="A2522" s="7">
        <v>46351</v>
      </c>
      <c r="B2522" s="8">
        <v>75</v>
      </c>
    </row>
    <row r="2523" spans="1:2">
      <c r="A2523" s="7">
        <v>46352</v>
      </c>
      <c r="B2523" s="8">
        <v>75</v>
      </c>
    </row>
    <row r="2524" spans="1:2">
      <c r="A2524" s="7">
        <v>46353</v>
      </c>
      <c r="B2524" s="8">
        <v>75</v>
      </c>
    </row>
    <row r="2525" spans="1:2">
      <c r="A2525" s="7">
        <v>46354</v>
      </c>
      <c r="B2525" s="8">
        <v>75</v>
      </c>
    </row>
    <row r="2526" spans="1:2">
      <c r="A2526" s="7">
        <v>46355</v>
      </c>
      <c r="B2526" s="8">
        <v>75</v>
      </c>
    </row>
    <row r="2527" spans="1:2">
      <c r="A2527" s="7">
        <v>46356</v>
      </c>
      <c r="B2527" s="8">
        <v>75</v>
      </c>
    </row>
    <row r="2528" spans="1:2">
      <c r="A2528" s="7">
        <v>46357</v>
      </c>
      <c r="B2528" s="8">
        <v>75</v>
      </c>
    </row>
    <row r="2529" spans="1:2">
      <c r="A2529" s="7">
        <v>46358</v>
      </c>
      <c r="B2529" s="8">
        <v>75</v>
      </c>
    </row>
    <row r="2530" spans="1:2">
      <c r="A2530" s="7">
        <v>46359</v>
      </c>
      <c r="B2530" s="8">
        <v>75</v>
      </c>
    </row>
    <row r="2531" spans="1:2">
      <c r="A2531" s="7">
        <v>46360</v>
      </c>
      <c r="B2531" s="8">
        <v>75</v>
      </c>
    </row>
    <row r="2532" spans="1:2">
      <c r="A2532" s="7">
        <v>46361</v>
      </c>
      <c r="B2532" s="8">
        <v>75</v>
      </c>
    </row>
    <row r="2533" spans="1:2">
      <c r="A2533" s="7">
        <v>46362</v>
      </c>
      <c r="B2533" s="8">
        <v>75</v>
      </c>
    </row>
    <row r="2534" spans="1:2">
      <c r="A2534" s="7">
        <v>46363</v>
      </c>
      <c r="B2534" s="8">
        <v>75</v>
      </c>
    </row>
    <row r="2535" spans="1:2">
      <c r="A2535" s="7">
        <v>46364</v>
      </c>
      <c r="B2535" s="8">
        <v>75</v>
      </c>
    </row>
    <row r="2536" spans="1:2">
      <c r="A2536" s="7">
        <v>46365</v>
      </c>
      <c r="B2536" s="8">
        <v>75</v>
      </c>
    </row>
    <row r="2537" spans="1:2">
      <c r="A2537" s="7">
        <v>46366</v>
      </c>
      <c r="B2537" s="8">
        <v>75</v>
      </c>
    </row>
    <row r="2538" spans="1:2">
      <c r="A2538" s="7">
        <v>46367</v>
      </c>
      <c r="B2538" s="8">
        <v>75</v>
      </c>
    </row>
    <row r="2539" spans="1:2">
      <c r="A2539" s="7">
        <v>46368</v>
      </c>
      <c r="B2539" s="8">
        <v>75</v>
      </c>
    </row>
    <row r="2540" spans="1:2">
      <c r="A2540" s="7">
        <v>46369</v>
      </c>
      <c r="B2540" s="8">
        <v>75</v>
      </c>
    </row>
    <row r="2541" spans="1:2">
      <c r="A2541" s="7">
        <v>46370</v>
      </c>
      <c r="B2541" s="8">
        <v>75</v>
      </c>
    </row>
    <row r="2542" spans="1:2">
      <c r="A2542" s="7">
        <v>46371</v>
      </c>
      <c r="B2542" s="8">
        <v>75</v>
      </c>
    </row>
    <row r="2543" spans="1:2">
      <c r="A2543" s="7">
        <v>46372</v>
      </c>
      <c r="B2543" s="8">
        <v>75</v>
      </c>
    </row>
    <row r="2544" spans="1:2">
      <c r="A2544" s="7">
        <v>46373</v>
      </c>
      <c r="B2544" s="8">
        <v>75</v>
      </c>
    </row>
    <row r="2545" spans="1:2">
      <c r="A2545" s="7">
        <v>46374</v>
      </c>
      <c r="B2545" s="8">
        <v>75</v>
      </c>
    </row>
    <row r="2546" spans="1:2">
      <c r="A2546" s="7">
        <v>46375</v>
      </c>
      <c r="B2546" s="8">
        <v>75</v>
      </c>
    </row>
    <row r="2547" spans="1:2">
      <c r="A2547" s="7">
        <v>46376</v>
      </c>
      <c r="B2547" s="8">
        <v>75</v>
      </c>
    </row>
    <row r="2548" spans="1:2">
      <c r="A2548" s="7">
        <v>46377</v>
      </c>
      <c r="B2548" s="8">
        <v>75</v>
      </c>
    </row>
    <row r="2549" spans="1:2">
      <c r="A2549" s="7">
        <v>46378</v>
      </c>
      <c r="B2549" s="8">
        <v>75</v>
      </c>
    </row>
    <row r="2550" spans="1:2">
      <c r="A2550" s="7">
        <v>46379</v>
      </c>
      <c r="B2550" s="8">
        <v>75</v>
      </c>
    </row>
    <row r="2551" spans="1:2">
      <c r="A2551" s="7">
        <v>46380</v>
      </c>
      <c r="B2551" s="8">
        <v>75</v>
      </c>
    </row>
    <row r="2552" spans="1:2">
      <c r="A2552" s="7">
        <v>46381</v>
      </c>
      <c r="B2552" s="8">
        <v>75</v>
      </c>
    </row>
    <row r="2553" spans="1:2">
      <c r="A2553" s="7">
        <v>46382</v>
      </c>
      <c r="B2553" s="8">
        <v>75</v>
      </c>
    </row>
    <row r="2554" spans="1:2">
      <c r="A2554" s="7">
        <v>46383</v>
      </c>
      <c r="B2554" s="8">
        <v>75</v>
      </c>
    </row>
    <row r="2555" spans="1:2">
      <c r="A2555" s="7">
        <v>46384</v>
      </c>
      <c r="B2555" s="8">
        <v>75</v>
      </c>
    </row>
    <row r="2556" spans="1:2">
      <c r="A2556" s="7">
        <v>46385</v>
      </c>
      <c r="B2556" s="8">
        <v>75</v>
      </c>
    </row>
    <row r="2557" spans="1:2">
      <c r="A2557" s="7">
        <v>46386</v>
      </c>
      <c r="B2557" s="8">
        <v>75</v>
      </c>
    </row>
    <row r="2558" spans="1:2">
      <c r="A2558" s="7">
        <v>46387</v>
      </c>
      <c r="B2558" s="8">
        <v>75</v>
      </c>
    </row>
  </sheetData>
  <autoFilter ref="A1:Q2193" xr:uid="{00000000-0001-0000-1B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Hankus</dc:creator>
  <cp:lastModifiedBy>Grzegorz Hankus</cp:lastModifiedBy>
  <dcterms:created xsi:type="dcterms:W3CDTF">2026-01-07T15:37:32Z</dcterms:created>
  <dcterms:modified xsi:type="dcterms:W3CDTF">2026-01-07T15:53:28Z</dcterms:modified>
</cp:coreProperties>
</file>